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Keyword_Portfolio" sheetId="3" state="visible" r:id="rId5"/>
    <sheet name="Traffic_Revenue" sheetId="4" state="visible" r:id="rId6"/>
    <sheet name="Scenarios" sheetId="5" state="visible" r:id="rId7"/>
    <sheet name="Reality_Check_50M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<sst xmlns="http://schemas.openxmlformats.org/spreadsheetml/2006/main" count="187" uniqueCount="164">
  <si>
    <t xml:space="preserve">OPERATIONS UTILITY TOOLKIT  —  FINANCIAL MODEL  (worldwide, three revenue pillars)</t>
  </si>
  <si>
    <t xml:space="preserve">What this is</t>
  </si>
  <si>
    <t xml:space="preserve">A revenue model for the interconnected operations-calculator suite. Traffic is sized on TRUE WORLDWIDE search volume for every English keyword (Semrush, all country databases, July 2026). Revenue is modelled across three pillars: display ads, affiliate/lead-gen, and a paid ACCOUNT layer (API, bulk calculation, saved scenarios).</t>
  </si>
  <si>
    <t xml:space="preserve">How to use it</t>
  </si>
  <si>
    <t xml:space="preserve">1.  Keyword_Portfolio holds real per-market volumes plus real worldwide totals for every term (only the long-tail row is an estimate). 2.  Tune the BLUE cells on Assumptions. 3.  Traffic_Revenue ramps all three pillars over 36 months; Scenarios shows the mature run-rate for Conservative/Base/Optimistic.</t>
  </si>
  <si>
    <t xml:space="preserve">Colour key</t>
  </si>
  <si>
    <t xml:space="preserve">Blue = your inputs.  Black = calculated.  Green = derived from another tab.  Yellow = the one remaining estimate.</t>
  </si>
  <si>
    <t xml:space="preserve">The three pillars</t>
  </si>
  <si>
    <t xml:space="preserve">Display ads are the floor (RPM rises with scale). Affiliate/lead-gen for freight and logistics software is the mid lever (a $50-200 lead beats a lot of ad pageviews). The ACCOUNT layer is the ceiling-raiser: recurring revenue that compounds with traffic. It also carries the most uncertainty, since free-tool audiences convert at low rates unless the account gates genuine value.</t>
  </si>
  <si>
    <t xml:space="preserve">What survives all the data</t>
  </si>
  <si>
    <t xml:space="preserve">The niche is winnable but small (worldwide ~370k searches/mo across the portfolio). 50M PV/yr stays ~35x beyond owning the whole niche. On ads + affiliate alone this is low thousands/yr; the account pillar is what makes it a business. Freight class calculator (16,970 ww, 93% Tier-1, difficulty 26) is the best single asset. Build the inventory wedge first for the pattern, then the freight engine, all interlinked.</t>
  </si>
  <si>
    <t xml:space="preserve">Data sources</t>
  </si>
  <si>
    <t xml:space="preserve">Volumes: Semrush phrase_all (worldwide) + phrase_these (per market), Jul 2026 - all real. RPM/CTR: 2026 industry benchmarks. Account-pillar rates are conservative planning assumptions and carry the highest uncertainty. Not financial advice.</t>
  </si>
  <si>
    <t xml:space="preserve">MODEL ASSUMPTIONS</t>
  </si>
  <si>
    <t xml:space="preserve">Blue = edit these. Black = calculated. Green = derived from another tab.</t>
  </si>
  <si>
    <t xml:space="preserve">A.  DISPLAY ADS  (RPM per 1,000 pageviews, USD)</t>
  </si>
  <si>
    <t xml:space="preserve">AdSense RPM (0-10k sessions/mo)</t>
  </si>
  <si>
    <t xml:space="preserve">Benchmark $2-5.</t>
  </si>
  <si>
    <t xml:space="preserve">Ezoic RPM (10k-50k sessions/mo)</t>
  </si>
  <si>
    <t xml:space="preserve">Benchmark $4-12.</t>
  </si>
  <si>
    <t xml:space="preserve">Mediavine/Raptive RPM (50k+ sessions/mo)</t>
  </si>
  <si>
    <t xml:space="preserve">Benchmark $15-30+.</t>
  </si>
  <si>
    <t xml:space="preserve">Tier-1 traffic share (US/UK/CA/AU)</t>
  </si>
  <si>
    <t xml:space="preserve">AUTO-derived, traffic-weighted, from real per-market data.</t>
  </si>
  <si>
    <t xml:space="preserve">Non-Tier-1 RPM factor</t>
  </si>
  <si>
    <t xml:space="preserve">Rest earns ~30-40% of Tier-1.</t>
  </si>
  <si>
    <t xml:space="preserve">Blended geo factor</t>
  </si>
  <si>
    <t xml:space="preserve">Auto: applied to every display RPM.</t>
  </si>
  <si>
    <t xml:space="preserve">Pages per session (connected suite)</t>
  </si>
  <si>
    <t xml:space="preserve">Interlinked tools: 1.8-2.2. A standalone tool would be ~1.3.</t>
  </si>
  <si>
    <t xml:space="preserve">B.  AFFILIATE / LEAD-GEN</t>
  </si>
  <si>
    <t xml:space="preserve">Affiliate/CTA click rate (% of pageviews)</t>
  </si>
  <si>
    <t xml:space="preserve">Share of pageviews clicking a software/affiliate CTA.</t>
  </si>
  <si>
    <t xml:space="preserve">Click -&gt; qualified conversion</t>
  </si>
  <si>
    <t xml:space="preserve">Share of those clicks that become a lead/sale.</t>
  </si>
  <si>
    <t xml:space="preserve">Value per qualified conversion ($)</t>
  </si>
  <si>
    <t xml:space="preserve">B2B software leads can be $50-200+; kept conservative.</t>
  </si>
  <si>
    <t xml:space="preserve">Effective affiliate RPM (per 1,000 PV, $)</t>
  </si>
  <si>
    <t xml:space="preserve">Auto.</t>
  </si>
  <si>
    <t xml:space="preserve">C.  ORGANIC CTR BY SERP POSITION</t>
  </si>
  <si>
    <t xml:space="preserve">Position</t>
  </si>
  <si>
    <t xml:space="preserve">CTR</t>
  </si>
  <si>
    <t xml:space="preserve">Calculators resist AI Overviews (&lt;3% disruption).</t>
  </si>
  <si>
    <t xml:space="preserve">D.  SCENARIO CAPTURE MULTIPLIERS</t>
  </si>
  <si>
    <t xml:space="preserve">Conservative</t>
  </si>
  <si>
    <t xml:space="preserve">Under-rank on the bigger terms.</t>
  </si>
  <si>
    <t xml:space="preserve">Base</t>
  </si>
  <si>
    <t xml:space="preserve">Reach target SERP positions.</t>
  </si>
  <si>
    <t xml:space="preserve">Optimistic</t>
  </si>
  <si>
    <t xml:space="preserve">Over-rank + wide long tail.</t>
  </si>
  <si>
    <t xml:space="preserve">E.  BUILD COST  (optional)</t>
  </si>
  <si>
    <t xml:space="preserve">Target number of calculator pages</t>
  </si>
  <si>
    <t xml:space="preserve">Hours per page (build + content)</t>
  </si>
  <si>
    <t xml:space="preserve">Your hourly opportunity cost ($)</t>
  </si>
  <si>
    <t xml:space="preserve">Total build hours</t>
  </si>
  <si>
    <t xml:space="preserve">Notional build cost ($)</t>
  </si>
  <si>
    <t xml:space="preserve">Tooling + hosting per year ($)</t>
  </si>
  <si>
    <t xml:space="preserve">F.  ACCOUNTS / SUBSCRIPTION  (the ceiling-raiser - HIGH uncertainty)</t>
  </si>
  <si>
    <t xml:space="preserve">Free -&gt; account signup (% of sessions)</t>
  </si>
  <si>
    <t xml:space="preserve">Share of visits that create a free account.</t>
  </si>
  <si>
    <t xml:space="preserve">Account -&gt; paid conversion (% of accounts)</t>
  </si>
  <si>
    <t xml:space="preserve">Freemium B2B tools ~2-5%.</t>
  </si>
  <si>
    <t xml:space="preserve">Monthly churn (% of paid subs)</t>
  </si>
  <si>
    <t xml:space="preserve">Small B2B tools ~3-8%/mo.</t>
  </si>
  <si>
    <t xml:space="preserve">Plan price ($/month)</t>
  </si>
  <si>
    <t xml:space="preserve">API / bulk / saved-scenario tier.</t>
  </si>
  <si>
    <t xml:space="preserve">Net paid conversion (% of sessions)</t>
  </si>
  <si>
    <t xml:space="preserve">Steady-state subs per 1 new sub/mo</t>
  </si>
  <si>
    <t xml:space="preserve">Auto: inflow divided by churn = eventual base.</t>
  </si>
  <si>
    <t xml:space="preserve">KEYWORD PORTFOLIO  —  real per-market + TRUE WORLDWIDE volumes (Semrush, Jul 2026)</t>
  </si>
  <si>
    <t xml:space="preserve">Keyword</t>
  </si>
  <si>
    <t xml:space="preserve">Cluster</t>
  </si>
  <si>
    <t xml:space="preserve">US</t>
  </si>
  <si>
    <t xml:space="preserve">UK</t>
  </si>
  <si>
    <t xml:space="preserve">CA</t>
  </si>
  <si>
    <t xml:space="preserve">AU</t>
  </si>
  <si>
    <t xml:space="preserve">IN</t>
  </si>
  <si>
    <t xml:space="preserve">Worldwide</t>
  </si>
  <si>
    <t xml:space="preserve">CPC ($)</t>
  </si>
  <si>
    <t xml:space="preserve">KD</t>
  </si>
  <si>
    <t xml:space="preserve">Target
pos</t>
  </si>
  <si>
    <t xml:space="preserve">CTR at
target</t>
  </si>
  <si>
    <t xml:space="preserve">Mature
clicks/mo</t>
  </si>
  <si>
    <t xml:space="preserve">reorder point calculator</t>
  </si>
  <si>
    <t xml:space="preserve">Inventory</t>
  </si>
  <si>
    <t xml:space="preserve">safety stock calculator</t>
  </si>
  <si>
    <t xml:space="preserve">eoq calculator</t>
  </si>
  <si>
    <t xml:space="preserve">economic order quantity calculator</t>
  </si>
  <si>
    <t xml:space="preserve">inventory turnover calculator</t>
  </si>
  <si>
    <t xml:space="preserve">days of inventory calculator</t>
  </si>
  <si>
    <t xml:space="preserve">inventory carrying cost calculator</t>
  </si>
  <si>
    <t xml:space="preserve">abc analysis calculator</t>
  </si>
  <si>
    <t xml:space="preserve">cbm calculator</t>
  </si>
  <si>
    <t xml:space="preserve">Freight</t>
  </si>
  <si>
    <t xml:space="preserve">volumetric weight calculator</t>
  </si>
  <si>
    <t xml:space="preserve">dimensional weight calculator</t>
  </si>
  <si>
    <t xml:space="preserve">freight class calculator</t>
  </si>
  <si>
    <t xml:space="preserve">chargeable weight calculator</t>
  </si>
  <si>
    <t xml:space="preserve">pallet calculator</t>
  </si>
  <si>
    <t xml:space="preserve">freight density calculator</t>
  </si>
  <si>
    <t xml:space="preserve">length plus girth calculator</t>
  </si>
  <si>
    <t xml:space="preserve">landed cost calculator</t>
  </si>
  <si>
    <t xml:space="preserve">Pricing</t>
  </si>
  <si>
    <t xml:space="preserve">margin calculator (generic)</t>
  </si>
  <si>
    <t xml:space="preserve">markup calculator (generic)</t>
  </si>
  <si>
    <t xml:space="preserve">break even calculator (generic)</t>
  </si>
  <si>
    <t xml:space="preserve">long-tail &amp; variant queries (est.)</t>
  </si>
  <si>
    <t xml:space="preserve">Long-tail</t>
  </si>
  <si>
    <t xml:space="preserve">TOTAL</t>
  </si>
  <si>
    <t xml:space="preserve">All volumes real (Semrush phrase_all worldwide + phrase_these per market, Jul 2026). Only the long-tail row is a modeled estimate.</t>
  </si>
  <si>
    <t xml:space="preserve">Freight class (16,970 ww, 93% Tier-1) = big + winnable + high-RPM. CBM (40,880 ww) is bigger but ~16% Tier-1 (low RPM). Build freight-first; lead with freight class.</t>
  </si>
  <si>
    <t xml:space="preserve">TRAFFIC &amp; REVENUE  —  Base case, 36 months, three pillars (worldwide)</t>
  </si>
  <si>
    <t xml:space="preserve">Ads + affiliate scale with pageviews. Accounts accumulate a subscriber base (new signups minus churn) that compounds.</t>
  </si>
  <si>
    <t xml:space="preserve">Month</t>
  </si>
  <si>
    <t xml:space="preserve">Ramp %</t>
  </si>
  <si>
    <t xml:space="preserve">Clicks /
sessions</t>
  </si>
  <si>
    <t xml:space="preserve">Pageviews</t>
  </si>
  <si>
    <t xml:space="preserve">Display
RPM $</t>
  </si>
  <si>
    <t xml:space="preserve">Display
rev $</t>
  </si>
  <si>
    <t xml:space="preserve">Affiliate
rev $</t>
  </si>
  <si>
    <t xml:space="preserve">New paid
subs</t>
  </si>
  <si>
    <t xml:space="preserve">Cumul.
subs</t>
  </si>
  <si>
    <t xml:space="preserve">Account
MRR $</t>
  </si>
  <si>
    <t xml:space="preserve">Total
rev $</t>
  </si>
  <si>
    <t xml:space="preserve">Year 1 total revenue (months 1-12)</t>
  </si>
  <si>
    <t xml:space="preserve">Year 2 total revenue (months 13-24)</t>
  </si>
  <si>
    <t xml:space="preserve">Year 3 total revenue (months 25-36)</t>
  </si>
  <si>
    <t xml:space="preserve">Month-36 subscribers</t>
  </si>
  <si>
    <t xml:space="preserve">Month-36 monthly revenue (all pillars)</t>
  </si>
  <si>
    <t xml:space="preserve">Month-36 annualised run-rate</t>
  </si>
  <si>
    <t xml:space="preserve">SCENARIOS AT MATURITY  (annualised run-rate, worldwide, three pillars)</t>
  </si>
  <si>
    <t xml:space="preserve">Steady-state subscriber base = new signups per month divided by monthly churn.</t>
  </si>
  <si>
    <t xml:space="preserve">Metric</t>
  </si>
  <si>
    <t xml:space="preserve">Capture multiplier</t>
  </si>
  <si>
    <t xml:space="preserve">Mature monthly clicks / sessions</t>
  </si>
  <si>
    <t xml:space="preserve">Mature monthly pageviews</t>
  </si>
  <si>
    <t xml:space="preserve">Ad network tier reached</t>
  </si>
  <si>
    <t xml:space="preserve">Display RPM ($)</t>
  </si>
  <si>
    <t xml:space="preserve">PILLAR 1 - Annual display revenue ($)</t>
  </si>
  <si>
    <t xml:space="preserve">PILLAR 2 - Annual affiliate revenue ($)</t>
  </si>
  <si>
    <t xml:space="preserve">New paid subs / month</t>
  </si>
  <si>
    <t xml:space="preserve">Steady-state subscribers</t>
  </si>
  <si>
    <t xml:space="preserve">Account MRR ($)</t>
  </si>
  <si>
    <t xml:space="preserve">PILLAR 3 - Annual account revenue ($)</t>
  </si>
  <si>
    <t xml:space="preserve">ANNUAL TOTAL REVENUE ($)</t>
  </si>
  <si>
    <t xml:space="preserve">Annual pageviews</t>
  </si>
  <si>
    <t xml:space="preserve">% of the 50M PV/yr target</t>
  </si>
  <si>
    <t xml:space="preserve">REALITY CHECK  —  can this niche reach 50M page views/year?  (worldwide)</t>
  </si>
  <si>
    <t xml:space="preserve">PART 1  -  What 50M PV/yr would require</t>
  </si>
  <si>
    <t xml:space="preserve">Target annual pageviews (from the tutorial)</t>
  </si>
  <si>
    <t xml:space="preserve">Pages per session</t>
  </si>
  <si>
    <t xml:space="preserve">Required annual clicks / sessions</t>
  </si>
  <si>
    <t xml:space="preserve">Required monthly clicks / sessions</t>
  </si>
  <si>
    <t xml:space="preserve">Best-case CTR (ranked #1)</t>
  </si>
  <si>
    <t xml:space="preserve">Required captured search volume / month</t>
  </si>
  <si>
    <t xml:space="preserve">PART 2  -  What the worldwide English niche contains</t>
  </si>
  <si>
    <t xml:space="preserve">Niche total addressable volume / month (worldwide)</t>
  </si>
  <si>
    <t xml:space="preserve">Sum of every keyword, all countries.</t>
  </si>
  <si>
    <t xml:space="preserve">Theoretical MAX clicks/mo (own 100% at #1)</t>
  </si>
  <si>
    <t xml:space="preserve">Theoretical MAX annual pageviews</t>
  </si>
  <si>
    <t xml:space="preserve">PART 3  -  The verdict</t>
  </si>
  <si>
    <t xml:space="preserve">50M target / niche theoretical max</t>
  </si>
  <si>
    <t xml:space="preserve">Max achievable % of the 50M target</t>
  </si>
  <si>
    <t xml:space="preserve">Even counting every country that searches these terms in English, and even owning the niche at #1, you land ~35x short of 50M. Replace the pageview target with revenue-per-visitor. The account pillar and freight affiliate are the levers.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</si>
</sst>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&quot;($&quot;#,##0.00\);\-"/>
    <numFmt numFmtId="166" formatCode="0.0%"/>
    <numFmt numFmtId="167" formatCode="0.00"/>
    <numFmt numFmtId="168" formatCode="#,##0;\(#,##0\);\-"/>
    <numFmt numFmtId="169" formatCode="\$#,##0;&quot;($&quot;#,##0\);\-"/>
    <numFmt numFmtId="170" formatCode="0.0"/>
    <numFmt numFmtId="171" formatCode="0%"/>
    <numFmt numFmtId="172" formatCode="#,##0.0"/>
    <numFmt numFmtId="173" formatCode="0.0&quot;x too big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name val="&lt;openpyxl.styles.alignment.Alignment object&gt;&#10;Parameters:&#10;horizontal='left', vertical='center', textRotation=0, wrapText=True, shrinkToFit=None, indent=0.0, relativeIndent=0.0, justifyLastLine=None, readingOrder=0.0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25.5" hidden="false" customHeight="tru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35.05" hidden="false" customHeight="false" outlineLevel="0" collapsed="false">
      <c r="B4" s="3" t="s">
        <v>2</v>
      </c>
    </row>
    <row r="6" customFormat="false" ht="15" hidden="false" customHeight="false" outlineLevel="0" collapsed="false">
      <c r="B6" s="2" t="s">
        <v>3</v>
      </c>
    </row>
    <row r="7" customFormat="false" ht="35.05" hidden="false" customHeight="fals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3" t="s">
        <v>6</v>
      </c>
    </row>
    <row r="12" customFormat="false" ht="15" hidden="false" customHeight="false" outlineLevel="0" collapsed="false">
      <c r="B12" s="2" t="s">
        <v>7</v>
      </c>
    </row>
    <row r="13" customFormat="false" ht="46.25" hidden="false" customHeight="false" outlineLevel="0" collapsed="false">
      <c r="B13" s="3" t="s">
        <v>8</v>
      </c>
    </row>
    <row r="15" customFormat="false" ht="15" hidden="false" customHeight="false" outlineLevel="0" collapsed="false">
      <c r="B15" s="2" t="s">
        <v>9</v>
      </c>
    </row>
    <row r="16" customFormat="false" ht="46.25" hidden="false" customHeight="false" outlineLevel="0" collapsed="false">
      <c r="B16" s="3" t="s">
        <v>10</v>
      </c>
    </row>
    <row r="18" customFormat="false" ht="15" hidden="false" customHeight="false" outlineLevel="0" collapsed="false">
      <c r="B18" s="4" t="s">
        <v>11</v>
      </c>
    </row>
    <row r="19" customFormat="false" ht="22.35" hidden="false" customHeight="false" outlineLevel="0" collapsed="false">
      <c r="B19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5" t="s">
        <v>13</v>
      </c>
      <c r="B1" s="5"/>
      <c r="C1" s="5"/>
    </row>
    <row r="2" customFormat="false" ht="15" hidden="false" customHeight="false" outlineLevel="0" collapsed="false">
      <c r="A2" s="6" t="s">
        <v>14</v>
      </c>
    </row>
    <row r="4" customFormat="false" ht="15" hidden="false" customHeight="true" outlineLevel="0" collapsed="false">
      <c r="A4" s="7" t="s">
        <v>15</v>
      </c>
      <c r="B4" s="7"/>
      <c r="C4" s="7"/>
    </row>
    <row r="5" customFormat="false" ht="15" hidden="false" customHeight="false" outlineLevel="0" collapsed="false">
      <c r="A5" s="3" t="s">
        <v>16</v>
      </c>
      <c r="B5" s="8" t="n">
        <v>4</v>
      </c>
      <c r="C5" s="4" t="s">
        <v>17</v>
      </c>
    </row>
    <row r="6" customFormat="false" ht="15" hidden="false" customHeight="false" outlineLevel="0" collapsed="false">
      <c r="A6" s="3" t="s">
        <v>18</v>
      </c>
      <c r="B6" s="8" t="n">
        <v>8</v>
      </c>
      <c r="C6" s="4" t="s">
        <v>19</v>
      </c>
    </row>
    <row r="7" customFormat="false" ht="15" hidden="false" customHeight="false" outlineLevel="0" collapsed="false">
      <c r="A7" s="3" t="s">
        <v>20</v>
      </c>
      <c r="B7" s="8" t="n">
        <v>18</v>
      </c>
      <c r="C7" s="4" t="s">
        <v>21</v>
      </c>
    </row>
    <row r="8" customFormat="false" ht="15" hidden="false" customHeight="false" outlineLevel="0" collapsed="false">
      <c r="A8" s="3" t="s">
        <v>22</v>
      </c>
      <c r="B8" s="9" t="n">
        <f aca="false">SUMPRODUCT((Keyword_Portfolio!C3:C23+Keyword_Portfolio!D3:D23+Keyword_Portfolio!E3:E23+Keyword_Portfolio!F3:F23)*Keyword_Portfolio!L3:L23)/SUM(Keyword_Portfolio!M3:M23)</f>
        <v>0.598029170607154</v>
      </c>
      <c r="C8" s="4" t="s">
        <v>23</v>
      </c>
    </row>
    <row r="9" customFormat="false" ht="15" hidden="false" customHeight="false" outlineLevel="0" collapsed="false">
      <c r="A9" s="3" t="s">
        <v>24</v>
      </c>
      <c r="B9" s="10" t="n">
        <v>0.35</v>
      </c>
      <c r="C9" s="4" t="s">
        <v>25</v>
      </c>
    </row>
    <row r="10" customFormat="false" ht="15" hidden="false" customHeight="false" outlineLevel="0" collapsed="false">
      <c r="A10" s="3" t="s">
        <v>26</v>
      </c>
      <c r="B10" s="11" t="n">
        <f aca="false">B8*1+(1-B8)*B9</f>
        <v>0.73871896089465</v>
      </c>
      <c r="C10" s="4" t="s">
        <v>27</v>
      </c>
    </row>
    <row r="11" customFormat="false" ht="15" hidden="false" customHeight="false" outlineLevel="0" collapsed="false">
      <c r="A11" s="3" t="s">
        <v>28</v>
      </c>
      <c r="B11" s="10" t="n">
        <v>1.9</v>
      </c>
      <c r="C11" s="4" t="s">
        <v>29</v>
      </c>
    </row>
    <row r="13" customFormat="false" ht="15" hidden="false" customHeight="true" outlineLevel="0" collapsed="false">
      <c r="A13" s="7" t="s">
        <v>30</v>
      </c>
      <c r="B13" s="7"/>
      <c r="C13" s="7"/>
    </row>
    <row r="14" customFormat="false" ht="15" hidden="false" customHeight="false" outlineLevel="0" collapsed="false">
      <c r="A14" s="3" t="s">
        <v>31</v>
      </c>
      <c r="B14" s="12" t="n">
        <v>0.01</v>
      </c>
      <c r="C14" s="4" t="s">
        <v>32</v>
      </c>
    </row>
    <row r="15" customFormat="false" ht="15" hidden="false" customHeight="false" outlineLevel="0" collapsed="false">
      <c r="A15" s="3" t="s">
        <v>33</v>
      </c>
      <c r="B15" s="12" t="n">
        <v>0.08</v>
      </c>
      <c r="C15" s="4" t="s">
        <v>34</v>
      </c>
    </row>
    <row r="16" customFormat="false" ht="15" hidden="false" customHeight="false" outlineLevel="0" collapsed="false">
      <c r="A16" s="3" t="s">
        <v>35</v>
      </c>
      <c r="B16" s="8" t="n">
        <v>15</v>
      </c>
      <c r="C16" s="4" t="s">
        <v>36</v>
      </c>
    </row>
    <row r="17" customFormat="false" ht="15" hidden="false" customHeight="false" outlineLevel="0" collapsed="false">
      <c r="A17" s="3" t="s">
        <v>37</v>
      </c>
      <c r="B17" s="13" t="n">
        <f aca="false">B14*B15*B16*1000</f>
        <v>12</v>
      </c>
      <c r="C17" s="4" t="s">
        <v>38</v>
      </c>
    </row>
    <row r="19" customFormat="false" ht="15" hidden="false" customHeight="true" outlineLevel="0" collapsed="false">
      <c r="A19" s="7" t="s">
        <v>39</v>
      </c>
      <c r="B19" s="7"/>
      <c r="C19" s="7"/>
    </row>
    <row r="20" customFormat="false" ht="15" hidden="false" customHeight="false" outlineLevel="0" collapsed="false">
      <c r="A20" s="14" t="s">
        <v>40</v>
      </c>
      <c r="B20" s="14" t="s">
        <v>41</v>
      </c>
      <c r="C20" s="6" t="s">
        <v>42</v>
      </c>
    </row>
    <row r="21" customFormat="false" ht="15" hidden="false" customHeight="false" outlineLevel="0" collapsed="false">
      <c r="A21" s="15" t="n">
        <v>1</v>
      </c>
      <c r="B21" s="12" t="n">
        <v>0.27</v>
      </c>
    </row>
    <row r="22" customFormat="false" ht="15" hidden="false" customHeight="false" outlineLevel="0" collapsed="false">
      <c r="A22" s="15" t="n">
        <v>2</v>
      </c>
      <c r="B22" s="12" t="n">
        <v>0.14</v>
      </c>
    </row>
    <row r="23" customFormat="false" ht="15" hidden="false" customHeight="false" outlineLevel="0" collapsed="false">
      <c r="A23" s="15" t="n">
        <v>3</v>
      </c>
      <c r="B23" s="12" t="n">
        <v>0.09</v>
      </c>
    </row>
    <row r="24" customFormat="false" ht="15" hidden="false" customHeight="false" outlineLevel="0" collapsed="false">
      <c r="A24" s="15" t="n">
        <v>4</v>
      </c>
      <c r="B24" s="12" t="n">
        <v>0.065</v>
      </c>
    </row>
    <row r="25" customFormat="false" ht="15" hidden="false" customHeight="false" outlineLevel="0" collapsed="false">
      <c r="A25" s="15" t="n">
        <v>5</v>
      </c>
      <c r="B25" s="12" t="n">
        <v>0.05</v>
      </c>
    </row>
    <row r="26" customFormat="false" ht="15" hidden="false" customHeight="false" outlineLevel="0" collapsed="false">
      <c r="A26" s="15" t="n">
        <v>6</v>
      </c>
      <c r="B26" s="12" t="n">
        <v>0.04</v>
      </c>
    </row>
    <row r="27" customFormat="false" ht="15" hidden="false" customHeight="false" outlineLevel="0" collapsed="false">
      <c r="A27" s="15" t="n">
        <v>7</v>
      </c>
      <c r="B27" s="12" t="n">
        <v>0.032</v>
      </c>
    </row>
    <row r="28" customFormat="false" ht="15" hidden="false" customHeight="false" outlineLevel="0" collapsed="false">
      <c r="A28" s="15" t="n">
        <v>8</v>
      </c>
      <c r="B28" s="12" t="n">
        <v>0.026</v>
      </c>
    </row>
    <row r="29" customFormat="false" ht="15" hidden="false" customHeight="false" outlineLevel="0" collapsed="false">
      <c r="A29" s="15" t="n">
        <v>9</v>
      </c>
      <c r="B29" s="12" t="n">
        <v>0.022</v>
      </c>
    </row>
    <row r="30" customFormat="false" ht="15" hidden="false" customHeight="false" outlineLevel="0" collapsed="false">
      <c r="A30" s="15" t="n">
        <v>10</v>
      </c>
      <c r="B30" s="12" t="n">
        <v>0.018</v>
      </c>
    </row>
    <row r="32" customFormat="false" ht="15" hidden="false" customHeight="true" outlineLevel="0" collapsed="false">
      <c r="A32" s="7" t="s">
        <v>43</v>
      </c>
      <c r="B32" s="7"/>
      <c r="C32" s="7"/>
    </row>
    <row r="33" customFormat="false" ht="15" hidden="false" customHeight="false" outlineLevel="0" collapsed="false">
      <c r="A33" s="3" t="s">
        <v>44</v>
      </c>
      <c r="B33" s="10" t="n">
        <v>0.45</v>
      </c>
      <c r="C33" s="4" t="s">
        <v>45</v>
      </c>
    </row>
    <row r="34" customFormat="false" ht="15" hidden="false" customHeight="false" outlineLevel="0" collapsed="false">
      <c r="A34" s="3" t="s">
        <v>46</v>
      </c>
      <c r="B34" s="10" t="n">
        <v>1</v>
      </c>
      <c r="C34" s="4" t="s">
        <v>47</v>
      </c>
    </row>
    <row r="35" customFormat="false" ht="15" hidden="false" customHeight="false" outlineLevel="0" collapsed="false">
      <c r="A35" s="3" t="s">
        <v>48</v>
      </c>
      <c r="B35" s="10" t="n">
        <v>1.7</v>
      </c>
      <c r="C35" s="4" t="s">
        <v>49</v>
      </c>
    </row>
    <row r="37" customFormat="false" ht="15" hidden="false" customHeight="true" outlineLevel="0" collapsed="false">
      <c r="A37" s="7" t="s">
        <v>50</v>
      </c>
      <c r="B37" s="7"/>
      <c r="C37" s="7"/>
    </row>
    <row r="38" customFormat="false" ht="15" hidden="false" customHeight="false" outlineLevel="0" collapsed="false">
      <c r="A38" s="3" t="s">
        <v>51</v>
      </c>
      <c r="B38" s="16" t="n">
        <v>25</v>
      </c>
      <c r="C38" s="4"/>
    </row>
    <row r="39" customFormat="false" ht="15" hidden="false" customHeight="false" outlineLevel="0" collapsed="false">
      <c r="A39" s="3" t="s">
        <v>52</v>
      </c>
      <c r="B39" s="16" t="n">
        <v>8</v>
      </c>
      <c r="C39" s="4"/>
    </row>
    <row r="40" customFormat="false" ht="15" hidden="false" customHeight="false" outlineLevel="0" collapsed="false">
      <c r="A40" s="3" t="s">
        <v>53</v>
      </c>
      <c r="B40" s="17" t="n">
        <v>50</v>
      </c>
      <c r="C40" s="4"/>
    </row>
    <row r="41" customFormat="false" ht="15" hidden="false" customHeight="false" outlineLevel="0" collapsed="false">
      <c r="A41" s="3" t="s">
        <v>54</v>
      </c>
      <c r="B41" s="18" t="n">
        <f aca="false">B38*B39</f>
        <v>200</v>
      </c>
      <c r="C41" s="4" t="s">
        <v>38</v>
      </c>
    </row>
    <row r="42" customFormat="false" ht="15" hidden="false" customHeight="false" outlineLevel="0" collapsed="false">
      <c r="A42" s="3" t="s">
        <v>55</v>
      </c>
      <c r="B42" s="19" t="n">
        <f aca="false">B41*B40</f>
        <v>10000</v>
      </c>
      <c r="C42" s="4" t="s">
        <v>38</v>
      </c>
    </row>
    <row r="43" customFormat="false" ht="15" hidden="false" customHeight="false" outlineLevel="0" collapsed="false">
      <c r="A43" s="3" t="s">
        <v>56</v>
      </c>
      <c r="B43" s="17" t="n">
        <v>600</v>
      </c>
      <c r="C43" s="4"/>
    </row>
    <row r="45" customFormat="false" ht="15" hidden="false" customHeight="true" outlineLevel="0" collapsed="false">
      <c r="A45" s="7" t="s">
        <v>57</v>
      </c>
      <c r="B45" s="7"/>
      <c r="C45" s="7"/>
    </row>
    <row r="46" customFormat="false" ht="15" hidden="false" customHeight="false" outlineLevel="0" collapsed="false">
      <c r="A46" s="3" t="s">
        <v>58</v>
      </c>
      <c r="B46" s="12" t="n">
        <v>0.015</v>
      </c>
      <c r="C46" s="4" t="s">
        <v>59</v>
      </c>
    </row>
    <row r="47" customFormat="false" ht="15" hidden="false" customHeight="false" outlineLevel="0" collapsed="false">
      <c r="A47" s="3" t="s">
        <v>60</v>
      </c>
      <c r="B47" s="12" t="n">
        <v>0.03</v>
      </c>
      <c r="C47" s="4" t="s">
        <v>61</v>
      </c>
    </row>
    <row r="48" customFormat="false" ht="15" hidden="false" customHeight="false" outlineLevel="0" collapsed="false">
      <c r="A48" s="3" t="s">
        <v>62</v>
      </c>
      <c r="B48" s="12" t="n">
        <v>0.06</v>
      </c>
      <c r="C48" s="4" t="s">
        <v>63</v>
      </c>
    </row>
    <row r="49" customFormat="false" ht="15" hidden="false" customHeight="false" outlineLevel="0" collapsed="false">
      <c r="A49" s="3" t="s">
        <v>64</v>
      </c>
      <c r="B49" s="8" t="n">
        <v>19</v>
      </c>
      <c r="C49" s="4" t="s">
        <v>65</v>
      </c>
    </row>
    <row r="50" customFormat="false" ht="15" hidden="false" customHeight="false" outlineLevel="0" collapsed="false">
      <c r="A50" s="3" t="s">
        <v>66</v>
      </c>
      <c r="B50" s="20" t="n">
        <f aca="false">B46*B47</f>
        <v>0.00045</v>
      </c>
      <c r="C50" s="4" t="s">
        <v>38</v>
      </c>
    </row>
    <row r="51" customFormat="false" ht="15" hidden="false" customHeight="false" outlineLevel="0" collapsed="false">
      <c r="A51" s="3" t="s">
        <v>67</v>
      </c>
      <c r="B51" s="21" t="n">
        <f aca="false">1/B48</f>
        <v>16.6666666666667</v>
      </c>
      <c r="C51" s="4" t="s">
        <v>68</v>
      </c>
    </row>
  </sheetData>
  <mergeCells count="7">
    <mergeCell ref="A1:C1"/>
    <mergeCell ref="A4:C4"/>
    <mergeCell ref="A13:C13"/>
    <mergeCell ref="A19:C19"/>
    <mergeCell ref="A32:C32"/>
    <mergeCell ref="A37:C37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7" min="3" style="0" width="7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5"/>
  </cols>
  <sheetData>
    <row r="1" customFormat="false" ht="21.75" hidden="false" customHeight="true" outlineLevel="0" collapsed="false">
      <c r="A1" s="5" t="s">
        <v>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30" hidden="false" customHeight="true" outlineLevel="0" collapsed="false">
      <c r="A2" s="22" t="s">
        <v>70</v>
      </c>
      <c r="B2" s="22" t="s">
        <v>71</v>
      </c>
      <c r="C2" s="22" t="s">
        <v>72</v>
      </c>
      <c r="D2" s="22" t="s">
        <v>73</v>
      </c>
      <c r="E2" s="22" t="s">
        <v>74</v>
      </c>
      <c r="F2" s="22" t="s">
        <v>75</v>
      </c>
      <c r="G2" s="22" t="s">
        <v>76</v>
      </c>
      <c r="H2" s="22" t="s">
        <v>77</v>
      </c>
      <c r="I2" s="22" t="s">
        <v>78</v>
      </c>
      <c r="J2" s="22" t="s">
        <v>79</v>
      </c>
      <c r="K2" s="23" t="s">
        <v>80</v>
      </c>
      <c r="L2" s="23" t="s">
        <v>81</v>
      </c>
      <c r="M2" s="23" t="s">
        <v>82</v>
      </c>
    </row>
    <row r="3" customFormat="false" ht="15" hidden="false" customHeight="false" outlineLevel="0" collapsed="false">
      <c r="A3" s="24" t="s">
        <v>83</v>
      </c>
      <c r="B3" s="24" t="s">
        <v>84</v>
      </c>
      <c r="C3" s="25" t="n">
        <v>170</v>
      </c>
      <c r="D3" s="25" t="n">
        <v>40</v>
      </c>
      <c r="E3" s="25" t="n">
        <v>20</v>
      </c>
      <c r="F3" s="25" t="n">
        <v>30</v>
      </c>
      <c r="G3" s="25" t="n">
        <v>20</v>
      </c>
      <c r="H3" s="25" t="n">
        <v>1050</v>
      </c>
      <c r="I3" s="26" t="n">
        <v>3.28</v>
      </c>
      <c r="J3" s="27" t="n">
        <v>20</v>
      </c>
      <c r="K3" s="28" t="n">
        <v>3</v>
      </c>
      <c r="L3" s="29" t="n">
        <f aca="false">INDEX(Assumptions!$B$21:$B$30,K3)</f>
        <v>0.09</v>
      </c>
      <c r="M3" s="30" t="n">
        <f aca="false">H3*L3</f>
        <v>94.5</v>
      </c>
    </row>
    <row r="4" customFormat="false" ht="15" hidden="false" customHeight="false" outlineLevel="0" collapsed="false">
      <c r="A4" s="24" t="s">
        <v>85</v>
      </c>
      <c r="B4" s="24" t="s">
        <v>84</v>
      </c>
      <c r="C4" s="25" t="n">
        <v>260</v>
      </c>
      <c r="D4" s="25" t="n">
        <v>70</v>
      </c>
      <c r="E4" s="25" t="n">
        <v>20</v>
      </c>
      <c r="F4" s="25" t="n">
        <v>40</v>
      </c>
      <c r="G4" s="25" t="n">
        <v>90</v>
      </c>
      <c r="H4" s="25" t="n">
        <v>2470</v>
      </c>
      <c r="I4" s="26" t="n">
        <v>1.76</v>
      </c>
      <c r="J4" s="27" t="n">
        <v>16</v>
      </c>
      <c r="K4" s="28" t="n">
        <v>3</v>
      </c>
      <c r="L4" s="29" t="n">
        <f aca="false">INDEX(Assumptions!$B$21:$B$30,K4)</f>
        <v>0.09</v>
      </c>
      <c r="M4" s="30" t="n">
        <f aca="false">H4*L4</f>
        <v>222.3</v>
      </c>
    </row>
    <row r="5" customFormat="false" ht="15" hidden="false" customHeight="false" outlineLevel="0" collapsed="false">
      <c r="A5" s="24" t="s">
        <v>86</v>
      </c>
      <c r="B5" s="24" t="s">
        <v>84</v>
      </c>
      <c r="C5" s="25" t="n">
        <v>320</v>
      </c>
      <c r="D5" s="25" t="n">
        <v>70</v>
      </c>
      <c r="E5" s="25" t="n">
        <v>20</v>
      </c>
      <c r="F5" s="25" t="n">
        <v>20</v>
      </c>
      <c r="G5" s="25" t="n">
        <v>110</v>
      </c>
      <c r="H5" s="25" t="n">
        <v>1340</v>
      </c>
      <c r="I5" s="26" t="n">
        <v>3.3</v>
      </c>
      <c r="J5" s="27" t="n">
        <v>27</v>
      </c>
      <c r="K5" s="28" t="n">
        <v>4</v>
      </c>
      <c r="L5" s="29" t="n">
        <f aca="false">INDEX(Assumptions!$B$21:$B$30,K5)</f>
        <v>0.065</v>
      </c>
      <c r="M5" s="30" t="n">
        <f aca="false">H5*L5</f>
        <v>87.1</v>
      </c>
    </row>
    <row r="6" customFormat="false" ht="15" hidden="false" customHeight="false" outlineLevel="0" collapsed="false">
      <c r="A6" s="24" t="s">
        <v>87</v>
      </c>
      <c r="B6" s="24" t="s">
        <v>84</v>
      </c>
      <c r="C6" s="25" t="n">
        <v>110</v>
      </c>
      <c r="D6" s="25" t="n">
        <v>70</v>
      </c>
      <c r="E6" s="25" t="n">
        <v>20</v>
      </c>
      <c r="F6" s="25" t="n">
        <v>10</v>
      </c>
      <c r="G6" s="25" t="n">
        <v>210</v>
      </c>
      <c r="H6" s="25" t="n">
        <v>770</v>
      </c>
      <c r="I6" s="26" t="n">
        <v>0</v>
      </c>
      <c r="J6" s="27" t="n">
        <v>14</v>
      </c>
      <c r="K6" s="28" t="n">
        <v>4</v>
      </c>
      <c r="L6" s="29" t="n">
        <f aca="false">INDEX(Assumptions!$B$21:$B$30,K6)</f>
        <v>0.065</v>
      </c>
      <c r="M6" s="30" t="n">
        <f aca="false">H6*L6</f>
        <v>50.05</v>
      </c>
    </row>
    <row r="7" customFormat="false" ht="15" hidden="false" customHeight="false" outlineLevel="0" collapsed="false">
      <c r="A7" s="24" t="s">
        <v>88</v>
      </c>
      <c r="B7" s="24" t="s">
        <v>84</v>
      </c>
      <c r="C7" s="25" t="n">
        <v>260</v>
      </c>
      <c r="D7" s="25" t="n">
        <v>70</v>
      </c>
      <c r="E7" s="25" t="n">
        <v>20</v>
      </c>
      <c r="F7" s="25" t="n">
        <v>30</v>
      </c>
      <c r="G7" s="25" t="n">
        <v>10</v>
      </c>
      <c r="H7" s="25" t="n">
        <v>670</v>
      </c>
      <c r="I7" s="26" t="n">
        <v>1.17</v>
      </c>
      <c r="J7" s="27" t="n">
        <v>35</v>
      </c>
      <c r="K7" s="28" t="n">
        <v>4</v>
      </c>
      <c r="L7" s="29" t="n">
        <f aca="false">INDEX(Assumptions!$B$21:$B$30,K7)</f>
        <v>0.065</v>
      </c>
      <c r="M7" s="30" t="n">
        <f aca="false">H7*L7</f>
        <v>43.55</v>
      </c>
    </row>
    <row r="8" customFormat="false" ht="15" hidden="false" customHeight="false" outlineLevel="0" collapsed="false">
      <c r="A8" s="24" t="s">
        <v>89</v>
      </c>
      <c r="B8" s="24" t="s">
        <v>84</v>
      </c>
      <c r="C8" s="25" t="n">
        <v>20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20</v>
      </c>
      <c r="I8" s="26" t="n">
        <v>0</v>
      </c>
      <c r="J8" s="27" t="n">
        <v>5</v>
      </c>
      <c r="K8" s="28" t="n">
        <v>3</v>
      </c>
      <c r="L8" s="29" t="n">
        <f aca="false">INDEX(Assumptions!$B$21:$B$30,K8)</f>
        <v>0.09</v>
      </c>
      <c r="M8" s="30" t="n">
        <f aca="false">H8*L8</f>
        <v>1.8</v>
      </c>
    </row>
    <row r="9" customFormat="false" ht="15" hidden="false" customHeight="false" outlineLevel="0" collapsed="false">
      <c r="A9" s="24" t="s">
        <v>90</v>
      </c>
      <c r="B9" s="24" t="s">
        <v>84</v>
      </c>
      <c r="C9" s="25" t="n">
        <v>40</v>
      </c>
      <c r="D9" s="25" t="n">
        <v>10</v>
      </c>
      <c r="E9" s="25" t="n">
        <v>10</v>
      </c>
      <c r="F9" s="25" t="n">
        <v>0</v>
      </c>
      <c r="G9" s="25" t="n">
        <v>30</v>
      </c>
      <c r="H9" s="25" t="n">
        <v>170</v>
      </c>
      <c r="I9" s="26" t="n">
        <v>1.59</v>
      </c>
      <c r="J9" s="27" t="n">
        <v>27</v>
      </c>
      <c r="K9" s="28" t="n">
        <v>3</v>
      </c>
      <c r="L9" s="29" t="n">
        <f aca="false">INDEX(Assumptions!$B$21:$B$30,K9)</f>
        <v>0.09</v>
      </c>
      <c r="M9" s="30" t="n">
        <f aca="false">H9*L9</f>
        <v>15.3</v>
      </c>
    </row>
    <row r="10" customFormat="false" ht="15" hidden="false" customHeight="false" outlineLevel="0" collapsed="false">
      <c r="A10" s="24" t="s">
        <v>91</v>
      </c>
      <c r="B10" s="24" t="s">
        <v>84</v>
      </c>
      <c r="C10" s="25" t="n">
        <v>20</v>
      </c>
      <c r="D10" s="25" t="n">
        <v>10</v>
      </c>
      <c r="E10" s="25" t="n">
        <v>10</v>
      </c>
      <c r="F10" s="25" t="n">
        <v>10</v>
      </c>
      <c r="G10" s="25" t="n">
        <v>0</v>
      </c>
      <c r="H10" s="25" t="n">
        <v>60</v>
      </c>
      <c r="I10" s="26" t="n">
        <v>0</v>
      </c>
      <c r="J10" s="27" t="n">
        <v>5</v>
      </c>
      <c r="K10" s="28" t="n">
        <v>4</v>
      </c>
      <c r="L10" s="29" t="n">
        <f aca="false">INDEX(Assumptions!$B$21:$B$30,K10)</f>
        <v>0.065</v>
      </c>
      <c r="M10" s="30" t="n">
        <f aca="false">H10*L10</f>
        <v>3.9</v>
      </c>
    </row>
    <row r="11" customFormat="false" ht="15" hidden="false" customHeight="false" outlineLevel="0" collapsed="false">
      <c r="A11" s="24" t="s">
        <v>92</v>
      </c>
      <c r="B11" s="24" t="s">
        <v>93</v>
      </c>
      <c r="C11" s="25" t="n">
        <v>2900</v>
      </c>
      <c r="D11" s="25" t="n">
        <v>1600</v>
      </c>
      <c r="E11" s="25" t="n">
        <v>590</v>
      </c>
      <c r="F11" s="25" t="n">
        <v>1300</v>
      </c>
      <c r="G11" s="25" t="n">
        <v>12100</v>
      </c>
      <c r="H11" s="25" t="n">
        <v>40880</v>
      </c>
      <c r="I11" s="26" t="n">
        <v>14.83</v>
      </c>
      <c r="J11" s="27" t="n">
        <v>37</v>
      </c>
      <c r="K11" s="28" t="n">
        <v>5</v>
      </c>
      <c r="L11" s="29" t="n">
        <f aca="false">INDEX(Assumptions!$B$21:$B$30,K11)</f>
        <v>0.05</v>
      </c>
      <c r="M11" s="30" t="n">
        <f aca="false">H11*L11</f>
        <v>2044</v>
      </c>
    </row>
    <row r="12" customFormat="false" ht="15" hidden="false" customHeight="false" outlineLevel="0" collapsed="false">
      <c r="A12" s="24" t="s">
        <v>94</v>
      </c>
      <c r="B12" s="24" t="s">
        <v>93</v>
      </c>
      <c r="C12" s="25" t="n">
        <v>260</v>
      </c>
      <c r="D12" s="25" t="n">
        <v>480</v>
      </c>
      <c r="E12" s="25" t="n">
        <v>90</v>
      </c>
      <c r="F12" s="25" t="n">
        <v>110</v>
      </c>
      <c r="G12" s="25" t="n">
        <v>2400</v>
      </c>
      <c r="H12" s="25" t="n">
        <v>5530</v>
      </c>
      <c r="I12" s="26" t="n">
        <v>2.59</v>
      </c>
      <c r="J12" s="27" t="n">
        <v>24</v>
      </c>
      <c r="K12" s="28" t="n">
        <v>4</v>
      </c>
      <c r="L12" s="29" t="n">
        <f aca="false">INDEX(Assumptions!$B$21:$B$30,K12)</f>
        <v>0.065</v>
      </c>
      <c r="M12" s="30" t="n">
        <f aca="false">H12*L12</f>
        <v>359.45</v>
      </c>
    </row>
    <row r="13" customFormat="false" ht="15" hidden="false" customHeight="false" outlineLevel="0" collapsed="false">
      <c r="A13" s="24" t="s">
        <v>95</v>
      </c>
      <c r="B13" s="24" t="s">
        <v>93</v>
      </c>
      <c r="C13" s="25" t="n">
        <v>1600</v>
      </c>
      <c r="D13" s="25" t="n">
        <v>70</v>
      </c>
      <c r="E13" s="25" t="n">
        <v>140</v>
      </c>
      <c r="F13" s="25" t="n">
        <v>20</v>
      </c>
      <c r="G13" s="25" t="n">
        <v>210</v>
      </c>
      <c r="H13" s="25" t="n">
        <v>2750</v>
      </c>
      <c r="I13" s="26" t="n">
        <v>1.22</v>
      </c>
      <c r="J13" s="27" t="n">
        <v>21</v>
      </c>
      <c r="K13" s="28" t="n">
        <v>4</v>
      </c>
      <c r="L13" s="29" t="n">
        <f aca="false">INDEX(Assumptions!$B$21:$B$30,K13)</f>
        <v>0.065</v>
      </c>
      <c r="M13" s="30" t="n">
        <f aca="false">H13*L13</f>
        <v>178.75</v>
      </c>
    </row>
    <row r="14" customFormat="false" ht="15" hidden="false" customHeight="false" outlineLevel="0" collapsed="false">
      <c r="A14" s="24" t="s">
        <v>96</v>
      </c>
      <c r="B14" s="24" t="s">
        <v>93</v>
      </c>
      <c r="C14" s="25" t="n">
        <v>14800</v>
      </c>
      <c r="D14" s="25" t="n">
        <v>50</v>
      </c>
      <c r="E14" s="25" t="n">
        <v>1000</v>
      </c>
      <c r="F14" s="25" t="n">
        <v>20</v>
      </c>
      <c r="G14" s="25" t="n">
        <v>140</v>
      </c>
      <c r="H14" s="25" t="n">
        <v>16970</v>
      </c>
      <c r="I14" s="26" t="n">
        <v>2.67</v>
      </c>
      <c r="J14" s="27" t="n">
        <v>26</v>
      </c>
      <c r="K14" s="28" t="n">
        <v>4</v>
      </c>
      <c r="L14" s="29" t="n">
        <f aca="false">INDEX(Assumptions!$B$21:$B$30,K14)</f>
        <v>0.065</v>
      </c>
      <c r="M14" s="30" t="n">
        <f aca="false">H14*L14</f>
        <v>1103.05</v>
      </c>
    </row>
    <row r="15" customFormat="false" ht="15" hidden="false" customHeight="false" outlineLevel="0" collapsed="false">
      <c r="A15" s="24" t="s">
        <v>97</v>
      </c>
      <c r="B15" s="24" t="s">
        <v>93</v>
      </c>
      <c r="C15" s="25" t="n">
        <v>720</v>
      </c>
      <c r="D15" s="25" t="n">
        <v>210</v>
      </c>
      <c r="E15" s="25" t="n">
        <v>110</v>
      </c>
      <c r="F15" s="25" t="n">
        <v>110</v>
      </c>
      <c r="G15" s="25" t="n">
        <v>390</v>
      </c>
      <c r="H15" s="25" t="n">
        <v>3180</v>
      </c>
      <c r="I15" s="26" t="n">
        <v>4.01</v>
      </c>
      <c r="J15" s="27" t="n">
        <v>26</v>
      </c>
      <c r="K15" s="28" t="n">
        <v>4</v>
      </c>
      <c r="L15" s="29" t="n">
        <f aca="false">INDEX(Assumptions!$B$21:$B$30,K15)</f>
        <v>0.065</v>
      </c>
      <c r="M15" s="30" t="n">
        <f aca="false">H15*L15</f>
        <v>206.7</v>
      </c>
    </row>
    <row r="16" customFormat="false" ht="15" hidden="false" customHeight="false" outlineLevel="0" collapsed="false">
      <c r="A16" s="24" t="s">
        <v>98</v>
      </c>
      <c r="B16" s="24" t="s">
        <v>93</v>
      </c>
      <c r="C16" s="25" t="n">
        <v>1000</v>
      </c>
      <c r="D16" s="25" t="n">
        <v>320</v>
      </c>
      <c r="E16" s="25" t="n">
        <v>140</v>
      </c>
      <c r="F16" s="25" t="n">
        <v>140</v>
      </c>
      <c r="G16" s="25" t="n">
        <v>140</v>
      </c>
      <c r="H16" s="25" t="n">
        <v>2800</v>
      </c>
      <c r="I16" s="26" t="n">
        <v>5.84</v>
      </c>
      <c r="J16" s="27" t="n">
        <v>16</v>
      </c>
      <c r="K16" s="28" t="n">
        <v>5</v>
      </c>
      <c r="L16" s="29" t="n">
        <f aca="false">INDEX(Assumptions!$B$21:$B$30,K16)</f>
        <v>0.05</v>
      </c>
      <c r="M16" s="30" t="n">
        <f aca="false">H16*L16</f>
        <v>140</v>
      </c>
    </row>
    <row r="17" customFormat="false" ht="15" hidden="false" customHeight="false" outlineLevel="0" collapsed="false">
      <c r="A17" s="24" t="s">
        <v>99</v>
      </c>
      <c r="B17" s="24" t="s">
        <v>93</v>
      </c>
      <c r="C17" s="25" t="n">
        <v>1300</v>
      </c>
      <c r="D17" s="25" t="n">
        <v>20</v>
      </c>
      <c r="E17" s="25" t="n">
        <v>30</v>
      </c>
      <c r="F17" s="25" t="n">
        <v>20</v>
      </c>
      <c r="G17" s="25" t="n">
        <v>30</v>
      </c>
      <c r="H17" s="25" t="n">
        <v>1660</v>
      </c>
      <c r="I17" s="26" t="n">
        <v>3.21</v>
      </c>
      <c r="J17" s="27" t="n">
        <v>23</v>
      </c>
      <c r="K17" s="28" t="n">
        <v>4</v>
      </c>
      <c r="L17" s="29" t="n">
        <f aca="false">INDEX(Assumptions!$B$21:$B$30,K17)</f>
        <v>0.065</v>
      </c>
      <c r="M17" s="30" t="n">
        <f aca="false">H17*L17</f>
        <v>107.9</v>
      </c>
    </row>
    <row r="18" customFormat="false" ht="15" hidden="false" customHeight="false" outlineLevel="0" collapsed="false">
      <c r="A18" s="24" t="s">
        <v>100</v>
      </c>
      <c r="B18" s="24" t="s">
        <v>93</v>
      </c>
      <c r="C18" s="25" t="n">
        <v>70</v>
      </c>
      <c r="D18" s="25" t="n">
        <v>20</v>
      </c>
      <c r="E18" s="25" t="n">
        <v>20</v>
      </c>
      <c r="F18" s="25" t="n">
        <v>0</v>
      </c>
      <c r="G18" s="25" t="n">
        <v>0</v>
      </c>
      <c r="H18" s="25" t="n">
        <v>110</v>
      </c>
      <c r="I18" s="26" t="n">
        <v>0</v>
      </c>
      <c r="J18" s="27" t="n">
        <v>16</v>
      </c>
      <c r="K18" s="28" t="n">
        <v>3</v>
      </c>
      <c r="L18" s="29" t="n">
        <f aca="false">INDEX(Assumptions!$B$21:$B$30,K18)</f>
        <v>0.09</v>
      </c>
      <c r="M18" s="30" t="n">
        <f aca="false">H18*L18</f>
        <v>9.9</v>
      </c>
    </row>
    <row r="19" customFormat="false" ht="15" hidden="false" customHeight="false" outlineLevel="0" collapsed="false">
      <c r="A19" s="24" t="s">
        <v>101</v>
      </c>
      <c r="B19" s="24" t="s">
        <v>102</v>
      </c>
      <c r="C19" s="25" t="n">
        <v>480</v>
      </c>
      <c r="D19" s="25" t="n">
        <v>140</v>
      </c>
      <c r="E19" s="25" t="n">
        <v>30</v>
      </c>
      <c r="F19" s="25" t="n">
        <v>20</v>
      </c>
      <c r="G19" s="25" t="n">
        <v>50</v>
      </c>
      <c r="H19" s="25" t="n">
        <v>1240</v>
      </c>
      <c r="I19" s="26" t="n">
        <v>2.17</v>
      </c>
      <c r="J19" s="27" t="n">
        <v>21</v>
      </c>
      <c r="K19" s="28" t="n">
        <v>4</v>
      </c>
      <c r="L19" s="29" t="n">
        <f aca="false">INDEX(Assumptions!$B$21:$B$30,K19)</f>
        <v>0.065</v>
      </c>
      <c r="M19" s="30" t="n">
        <f aca="false">H19*L19</f>
        <v>80.6</v>
      </c>
    </row>
    <row r="20" customFormat="false" ht="15" hidden="false" customHeight="false" outlineLevel="0" collapsed="false">
      <c r="A20" s="24" t="s">
        <v>103</v>
      </c>
      <c r="B20" s="24" t="s">
        <v>102</v>
      </c>
      <c r="C20" s="25" t="n">
        <v>110000</v>
      </c>
      <c r="D20" s="25" t="n">
        <v>27100</v>
      </c>
      <c r="E20" s="25" t="n">
        <v>18100</v>
      </c>
      <c r="F20" s="25" t="n">
        <v>9900</v>
      </c>
      <c r="G20" s="25" t="n">
        <v>6600</v>
      </c>
      <c r="H20" s="25" t="n">
        <v>194870</v>
      </c>
      <c r="I20" s="26" t="n">
        <v>4</v>
      </c>
      <c r="J20" s="27" t="n">
        <v>56</v>
      </c>
      <c r="K20" s="28" t="n">
        <v>9</v>
      </c>
      <c r="L20" s="29" t="n">
        <f aca="false">INDEX(Assumptions!$B$21:$B$30,K20)</f>
        <v>0.022</v>
      </c>
      <c r="M20" s="30" t="n">
        <f aca="false">H20*L20</f>
        <v>4287.14</v>
      </c>
    </row>
    <row r="21" customFormat="false" ht="15" hidden="false" customHeight="false" outlineLevel="0" collapsed="false">
      <c r="A21" s="24" t="s">
        <v>104</v>
      </c>
      <c r="B21" s="24" t="s">
        <v>102</v>
      </c>
      <c r="C21" s="25" t="n">
        <v>14800</v>
      </c>
      <c r="D21" s="25" t="n">
        <v>1900</v>
      </c>
      <c r="E21" s="25" t="n">
        <v>1300</v>
      </c>
      <c r="F21" s="25" t="n">
        <v>1300</v>
      </c>
      <c r="G21" s="25" t="n">
        <v>590</v>
      </c>
      <c r="H21" s="25" t="n">
        <v>24270</v>
      </c>
      <c r="I21" s="26" t="n">
        <v>1.48</v>
      </c>
      <c r="J21" s="27" t="n">
        <v>22</v>
      </c>
      <c r="K21" s="28" t="n">
        <v>7</v>
      </c>
      <c r="L21" s="29" t="n">
        <f aca="false">INDEX(Assumptions!$B$21:$B$30,K21)</f>
        <v>0.032</v>
      </c>
      <c r="M21" s="30" t="n">
        <f aca="false">H21*L21</f>
        <v>776.64</v>
      </c>
    </row>
    <row r="22" customFormat="false" ht="15" hidden="false" customHeight="false" outlineLevel="0" collapsed="false">
      <c r="A22" s="24" t="s">
        <v>105</v>
      </c>
      <c r="B22" s="24" t="s">
        <v>102</v>
      </c>
      <c r="C22" s="25" t="n">
        <v>720</v>
      </c>
      <c r="D22" s="25" t="n">
        <v>210</v>
      </c>
      <c r="E22" s="25" t="n">
        <v>70</v>
      </c>
      <c r="F22" s="25" t="n">
        <v>140</v>
      </c>
      <c r="G22" s="25" t="n">
        <v>90</v>
      </c>
      <c r="H22" s="25" t="n">
        <v>3140</v>
      </c>
      <c r="I22" s="26" t="n">
        <v>5.91</v>
      </c>
      <c r="J22" s="27" t="n">
        <v>26</v>
      </c>
      <c r="K22" s="28" t="n">
        <v>7</v>
      </c>
      <c r="L22" s="29" t="n">
        <f aca="false">INDEX(Assumptions!$B$21:$B$30,K22)</f>
        <v>0.032</v>
      </c>
      <c r="M22" s="30" t="n">
        <f aca="false">H22*L22</f>
        <v>100.48</v>
      </c>
    </row>
    <row r="23" customFormat="false" ht="15" hidden="false" customHeight="false" outlineLevel="0" collapsed="false">
      <c r="A23" s="24" t="s">
        <v>106</v>
      </c>
      <c r="B23" s="24" t="s">
        <v>107</v>
      </c>
      <c r="C23" s="25" t="n">
        <v>8000</v>
      </c>
      <c r="D23" s="25" t="n">
        <v>3000</v>
      </c>
      <c r="E23" s="25" t="n">
        <v>1500</v>
      </c>
      <c r="F23" s="25" t="n">
        <v>2000</v>
      </c>
      <c r="G23" s="25" t="n">
        <v>7500</v>
      </c>
      <c r="H23" s="31" t="n">
        <v>35000</v>
      </c>
      <c r="I23" s="26" t="n">
        <v>2</v>
      </c>
      <c r="J23" s="27" t="n">
        <v>20</v>
      </c>
      <c r="K23" s="28" t="n">
        <v>5</v>
      </c>
      <c r="L23" s="29" t="n">
        <f aca="false">INDEX(Assumptions!$B$21:$B$30,K23)</f>
        <v>0.05</v>
      </c>
      <c r="M23" s="30" t="n">
        <f aca="false">H23*L23</f>
        <v>1750</v>
      </c>
    </row>
    <row r="24" customFormat="false" ht="15" hidden="false" customHeight="false" outlineLevel="0" collapsed="false">
      <c r="A24" s="32" t="s">
        <v>108</v>
      </c>
      <c r="B24" s="33"/>
      <c r="C24" s="34" t="n">
        <f aca="false">SUM(C3:C23)</f>
        <v>157850</v>
      </c>
      <c r="D24" s="34" t="n">
        <f aca="false">SUM(D3:D23)</f>
        <v>35460</v>
      </c>
      <c r="E24" s="34" t="n">
        <f aca="false">SUM(E3:E23)</f>
        <v>23240</v>
      </c>
      <c r="F24" s="34" t="n">
        <f aca="false">SUM(F3:F23)</f>
        <v>15220</v>
      </c>
      <c r="G24" s="34" t="n">
        <f aca="false">SUM(G3:G23)</f>
        <v>30710</v>
      </c>
      <c r="H24" s="34" t="n">
        <f aca="false">SUM(H3:H23)</f>
        <v>338950</v>
      </c>
      <c r="I24" s="33"/>
      <c r="J24" s="33"/>
      <c r="K24" s="33"/>
      <c r="L24" s="33"/>
      <c r="M24" s="34" t="n">
        <f aca="false">SUM(M3:M23)</f>
        <v>11663.11</v>
      </c>
    </row>
    <row r="26" customFormat="false" ht="15" hidden="false" customHeight="false" outlineLevel="0" collapsed="false">
      <c r="A26" s="6" t="s">
        <v>109</v>
      </c>
    </row>
    <row r="27" customFormat="false" ht="15" hidden="false" customHeight="false" outlineLevel="0" collapsed="false">
      <c r="A27" s="6" t="s">
        <v>110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112</v>
      </c>
    </row>
    <row r="3" customFormat="false" ht="27.75" hidden="false" customHeight="true" outlineLevel="0" collapsed="false">
      <c r="A3" s="22" t="s">
        <v>113</v>
      </c>
      <c r="B3" s="22" t="s">
        <v>114</v>
      </c>
      <c r="C3" s="23" t="s">
        <v>115</v>
      </c>
      <c r="D3" s="22" t="s">
        <v>116</v>
      </c>
      <c r="E3" s="23" t="s">
        <v>117</v>
      </c>
      <c r="F3" s="23" t="s">
        <v>118</v>
      </c>
      <c r="G3" s="23" t="s">
        <v>119</v>
      </c>
      <c r="H3" s="23" t="s">
        <v>120</v>
      </c>
      <c r="I3" s="23" t="s">
        <v>121</v>
      </c>
      <c r="J3" s="23" t="s">
        <v>122</v>
      </c>
      <c r="K3" s="23" t="s">
        <v>123</v>
      </c>
    </row>
    <row r="4" customFormat="false" ht="15" hidden="false" customHeight="false" outlineLevel="0" collapsed="false">
      <c r="A4" s="35" t="n">
        <v>1</v>
      </c>
      <c r="B4" s="36" t="n">
        <v>0</v>
      </c>
      <c r="C4" s="37" t="n">
        <f aca="false">Keyword_Portfolio!$M$24*B4*Assumptions!$B$34</f>
        <v>0</v>
      </c>
      <c r="D4" s="37" t="n">
        <f aca="false">C4*Assumptions!$B$11</f>
        <v>0</v>
      </c>
      <c r="E4" s="38" t="n">
        <f aca="false">Assumptions!$B$10*IF(C4&gt;=50000,Assumptions!$B$7,IF(C4&gt;=10000,Assumptions!$B$6,Assumptions!$B$5))</f>
        <v>2.9548758435786</v>
      </c>
      <c r="F4" s="19" t="n">
        <f aca="false">D4/1000*E4</f>
        <v>0</v>
      </c>
      <c r="G4" s="39" t="n">
        <f aca="false">D4/1000*Assumptions!$B$17</f>
        <v>0</v>
      </c>
      <c r="H4" s="40" t="n">
        <f aca="false">C4*Assumptions!$B$46*Assumptions!$B$47</f>
        <v>0</v>
      </c>
      <c r="I4" s="18" t="n">
        <f aca="false">H4</f>
        <v>0</v>
      </c>
      <c r="J4" s="19" t="n">
        <f aca="false">I4*Assumptions!$B$49</f>
        <v>0</v>
      </c>
      <c r="K4" s="41" t="n">
        <f aca="false">F4+G4+J4</f>
        <v>0</v>
      </c>
    </row>
    <row r="5" customFormat="false" ht="15" hidden="false" customHeight="false" outlineLevel="0" collapsed="false">
      <c r="A5" s="35" t="n">
        <v>2</v>
      </c>
      <c r="B5" s="36" t="n">
        <v>0.01</v>
      </c>
      <c r="C5" s="37" t="n">
        <f aca="false">Keyword_Portfolio!$M$24*B5*Assumptions!$B$34</f>
        <v>116.6311</v>
      </c>
      <c r="D5" s="37" t="n">
        <f aca="false">C5*Assumptions!$B$11</f>
        <v>221.59909</v>
      </c>
      <c r="E5" s="38" t="n">
        <f aca="false">Assumptions!$B$10*IF(C5&gt;=50000,Assumptions!$B$7,IF(C5&gt;=10000,Assumptions!$B$6,Assumptions!$B$5))</f>
        <v>2.9548758435786</v>
      </c>
      <c r="F5" s="19" t="n">
        <f aca="false">D5/1000*E5</f>
        <v>0.654797798</v>
      </c>
      <c r="G5" s="39" t="n">
        <f aca="false">D5/1000*Assumptions!$B$17</f>
        <v>2.65918908</v>
      </c>
      <c r="H5" s="40" t="n">
        <f aca="false">C5*Assumptions!$B$46*Assumptions!$B$47</f>
        <v>0.052483995</v>
      </c>
      <c r="I5" s="18" t="n">
        <f aca="false">I4*(1-Assumptions!$B$48)+H5</f>
        <v>0.052483995</v>
      </c>
      <c r="J5" s="19" t="n">
        <f aca="false">I5*Assumptions!$B$49</f>
        <v>0.997195905</v>
      </c>
      <c r="K5" s="41" t="n">
        <f aca="false">F5+G5+J5</f>
        <v>4.311182783</v>
      </c>
    </row>
    <row r="6" customFormat="false" ht="15" hidden="false" customHeight="false" outlineLevel="0" collapsed="false">
      <c r="A6" s="35" t="n">
        <v>3</v>
      </c>
      <c r="B6" s="36" t="n">
        <v>0.02</v>
      </c>
      <c r="C6" s="37" t="n">
        <f aca="false">Keyword_Portfolio!$M$24*B6*Assumptions!$B$34</f>
        <v>233.2622</v>
      </c>
      <c r="D6" s="37" t="n">
        <f aca="false">C6*Assumptions!$B$11</f>
        <v>443.19818</v>
      </c>
      <c r="E6" s="38" t="n">
        <f aca="false">Assumptions!$B$10*IF(C6&gt;=50000,Assumptions!$B$7,IF(C6&gt;=10000,Assumptions!$B$6,Assumptions!$B$5))</f>
        <v>2.9548758435786</v>
      </c>
      <c r="F6" s="19" t="n">
        <f aca="false">D6/1000*E6</f>
        <v>1.309595596</v>
      </c>
      <c r="G6" s="39" t="n">
        <f aca="false">D6/1000*Assumptions!$B$17</f>
        <v>5.31837816</v>
      </c>
      <c r="H6" s="40" t="n">
        <f aca="false">C6*Assumptions!$B$46*Assumptions!$B$47</f>
        <v>0.10496799</v>
      </c>
      <c r="I6" s="18" t="n">
        <f aca="false">I5*(1-Assumptions!$B$48)+H6</f>
        <v>0.1543029453</v>
      </c>
      <c r="J6" s="19" t="n">
        <f aca="false">I6*Assumptions!$B$49</f>
        <v>2.9317559607</v>
      </c>
      <c r="K6" s="41" t="n">
        <f aca="false">F6+G6+J6</f>
        <v>9.5597297167</v>
      </c>
    </row>
    <row r="7" customFormat="false" ht="15" hidden="false" customHeight="false" outlineLevel="0" collapsed="false">
      <c r="A7" s="35" t="n">
        <v>4</v>
      </c>
      <c r="B7" s="36" t="n">
        <v>0.04</v>
      </c>
      <c r="C7" s="37" t="n">
        <f aca="false">Keyword_Portfolio!$M$24*B7*Assumptions!$B$34</f>
        <v>466.5244</v>
      </c>
      <c r="D7" s="37" t="n">
        <f aca="false">C7*Assumptions!$B$11</f>
        <v>886.39636</v>
      </c>
      <c r="E7" s="38" t="n">
        <f aca="false">Assumptions!$B$10*IF(C7&gt;=50000,Assumptions!$B$7,IF(C7&gt;=10000,Assumptions!$B$6,Assumptions!$B$5))</f>
        <v>2.9548758435786</v>
      </c>
      <c r="F7" s="19" t="n">
        <f aca="false">D7/1000*E7</f>
        <v>2.619191192</v>
      </c>
      <c r="G7" s="39" t="n">
        <f aca="false">D7/1000*Assumptions!$B$17</f>
        <v>10.63675632</v>
      </c>
      <c r="H7" s="40" t="n">
        <f aca="false">C7*Assumptions!$B$46*Assumptions!$B$47</f>
        <v>0.20993598</v>
      </c>
      <c r="I7" s="18" t="n">
        <f aca="false">I6*(1-Assumptions!$B$48)+H7</f>
        <v>0.354980748582</v>
      </c>
      <c r="J7" s="19" t="n">
        <f aca="false">I7*Assumptions!$B$49</f>
        <v>6.744634223058</v>
      </c>
      <c r="K7" s="41" t="n">
        <f aca="false">F7+G7+J7</f>
        <v>20.000581735058</v>
      </c>
    </row>
    <row r="8" customFormat="false" ht="15" hidden="false" customHeight="false" outlineLevel="0" collapsed="false">
      <c r="A8" s="35" t="n">
        <v>5</v>
      </c>
      <c r="B8" s="36" t="n">
        <v>0.06</v>
      </c>
      <c r="C8" s="37" t="n">
        <f aca="false">Keyword_Portfolio!$M$24*B8*Assumptions!$B$34</f>
        <v>699.7866</v>
      </c>
      <c r="D8" s="37" t="n">
        <f aca="false">C8*Assumptions!$B$11</f>
        <v>1329.59454</v>
      </c>
      <c r="E8" s="38" t="n">
        <f aca="false">Assumptions!$B$10*IF(C8&gt;=50000,Assumptions!$B$7,IF(C8&gt;=10000,Assumptions!$B$6,Assumptions!$B$5))</f>
        <v>2.9548758435786</v>
      </c>
      <c r="F8" s="19" t="n">
        <f aca="false">D8/1000*E8</f>
        <v>3.928786788</v>
      </c>
      <c r="G8" s="39" t="n">
        <f aca="false">D8/1000*Assumptions!$B$17</f>
        <v>15.95513448</v>
      </c>
      <c r="H8" s="40" t="n">
        <f aca="false">C8*Assumptions!$B$46*Assumptions!$B$47</f>
        <v>0.31490397</v>
      </c>
      <c r="I8" s="18" t="n">
        <f aca="false">I7*(1-Assumptions!$B$48)+H8</f>
        <v>0.64858587366708</v>
      </c>
      <c r="J8" s="19" t="n">
        <f aca="false">I8*Assumptions!$B$49</f>
        <v>12.3231315996745</v>
      </c>
      <c r="K8" s="41" t="n">
        <f aca="false">F8+G8+J8</f>
        <v>32.2070528676745</v>
      </c>
    </row>
    <row r="9" customFormat="false" ht="15" hidden="false" customHeight="false" outlineLevel="0" collapsed="false">
      <c r="A9" s="35" t="n">
        <v>6</v>
      </c>
      <c r="B9" s="36" t="n">
        <v>0.09</v>
      </c>
      <c r="C9" s="37" t="n">
        <f aca="false">Keyword_Portfolio!$M$24*B9*Assumptions!$B$34</f>
        <v>1049.6799</v>
      </c>
      <c r="D9" s="37" t="n">
        <f aca="false">C9*Assumptions!$B$11</f>
        <v>1994.39181</v>
      </c>
      <c r="E9" s="38" t="n">
        <f aca="false">Assumptions!$B$10*IF(C9&gt;=50000,Assumptions!$B$7,IF(C9&gt;=10000,Assumptions!$B$6,Assumptions!$B$5))</f>
        <v>2.9548758435786</v>
      </c>
      <c r="F9" s="19" t="n">
        <f aca="false">D9/1000*E9</f>
        <v>5.893180182</v>
      </c>
      <c r="G9" s="39" t="n">
        <f aca="false">D9/1000*Assumptions!$B$17</f>
        <v>23.93270172</v>
      </c>
      <c r="H9" s="40" t="n">
        <f aca="false">C9*Assumptions!$B$46*Assumptions!$B$47</f>
        <v>0.472355955</v>
      </c>
      <c r="I9" s="18" t="n">
        <f aca="false">I8*(1-Assumptions!$B$48)+H9</f>
        <v>1.08202667624705</v>
      </c>
      <c r="J9" s="19" t="n">
        <f aca="false">I9*Assumptions!$B$49</f>
        <v>20.558506848694</v>
      </c>
      <c r="K9" s="41" t="n">
        <f aca="false">F9+G9+J9</f>
        <v>50.384388750694</v>
      </c>
    </row>
    <row r="10" customFormat="false" ht="15" hidden="false" customHeight="false" outlineLevel="0" collapsed="false">
      <c r="A10" s="35" t="n">
        <v>7</v>
      </c>
      <c r="B10" s="36" t="n">
        <v>0.12</v>
      </c>
      <c r="C10" s="37" t="n">
        <f aca="false">Keyword_Portfolio!$M$24*B10*Assumptions!$B$34</f>
        <v>1399.5732</v>
      </c>
      <c r="D10" s="37" t="n">
        <f aca="false">C10*Assumptions!$B$11</f>
        <v>2659.18908</v>
      </c>
      <c r="E10" s="38" t="n">
        <f aca="false">Assumptions!$B$10*IF(C10&gt;=50000,Assumptions!$B$7,IF(C10&gt;=10000,Assumptions!$B$6,Assumptions!$B$5))</f>
        <v>2.9548758435786</v>
      </c>
      <c r="F10" s="19" t="n">
        <f aca="false">D10/1000*E10</f>
        <v>7.857573576</v>
      </c>
      <c r="G10" s="39" t="n">
        <f aca="false">D10/1000*Assumptions!$B$17</f>
        <v>31.91026896</v>
      </c>
      <c r="H10" s="40" t="n">
        <f aca="false">C10*Assumptions!$B$46*Assumptions!$B$47</f>
        <v>0.62980794</v>
      </c>
      <c r="I10" s="18" t="n">
        <f aca="false">I9*(1-Assumptions!$B$48)+H10</f>
        <v>1.64691301567223</v>
      </c>
      <c r="J10" s="19" t="n">
        <f aca="false">I10*Assumptions!$B$49</f>
        <v>31.2913472977724</v>
      </c>
      <c r="K10" s="41" t="n">
        <f aca="false">F10+G10+J10</f>
        <v>71.0591898337724</v>
      </c>
    </row>
    <row r="11" customFormat="false" ht="15" hidden="false" customHeight="false" outlineLevel="0" collapsed="false">
      <c r="A11" s="35" t="n">
        <v>8</v>
      </c>
      <c r="B11" s="36" t="n">
        <v>0.15</v>
      </c>
      <c r="C11" s="37" t="n">
        <f aca="false">Keyword_Portfolio!$M$24*B11*Assumptions!$B$34</f>
        <v>1749.4665</v>
      </c>
      <c r="D11" s="37" t="n">
        <f aca="false">C11*Assumptions!$B$11</f>
        <v>3323.98635</v>
      </c>
      <c r="E11" s="38" t="n">
        <f aca="false">Assumptions!$B$10*IF(C11&gt;=50000,Assumptions!$B$7,IF(C11&gt;=10000,Assumptions!$B$6,Assumptions!$B$5))</f>
        <v>2.9548758435786</v>
      </c>
      <c r="F11" s="19" t="n">
        <f aca="false">D11/1000*E11</f>
        <v>9.82196697</v>
      </c>
      <c r="G11" s="39" t="n">
        <f aca="false">D11/1000*Assumptions!$B$17</f>
        <v>39.8878362</v>
      </c>
      <c r="H11" s="40" t="n">
        <f aca="false">C11*Assumptions!$B$46*Assumptions!$B$47</f>
        <v>0.787259925</v>
      </c>
      <c r="I11" s="18" t="n">
        <f aca="false">I10*(1-Assumptions!$B$48)+H11</f>
        <v>2.3353581597319</v>
      </c>
      <c r="J11" s="19" t="n">
        <f aca="false">I11*Assumptions!$B$49</f>
        <v>44.371805034906</v>
      </c>
      <c r="K11" s="41" t="n">
        <f aca="false">F11+G11+J11</f>
        <v>94.0816082049061</v>
      </c>
    </row>
    <row r="12" customFormat="false" ht="15" hidden="false" customHeight="false" outlineLevel="0" collapsed="false">
      <c r="A12" s="35" t="n">
        <v>9</v>
      </c>
      <c r="B12" s="36" t="n">
        <v>0.18</v>
      </c>
      <c r="C12" s="37" t="n">
        <f aca="false">Keyword_Portfolio!$M$24*B12*Assumptions!$B$34</f>
        <v>2099.3598</v>
      </c>
      <c r="D12" s="37" t="n">
        <f aca="false">C12*Assumptions!$B$11</f>
        <v>3988.78362</v>
      </c>
      <c r="E12" s="38" t="n">
        <f aca="false">Assumptions!$B$10*IF(C12&gt;=50000,Assumptions!$B$7,IF(C12&gt;=10000,Assumptions!$B$6,Assumptions!$B$5))</f>
        <v>2.9548758435786</v>
      </c>
      <c r="F12" s="19" t="n">
        <f aca="false">D12/1000*E12</f>
        <v>11.786360364</v>
      </c>
      <c r="G12" s="39" t="n">
        <f aca="false">D12/1000*Assumptions!$B$17</f>
        <v>47.86540344</v>
      </c>
      <c r="H12" s="40" t="n">
        <f aca="false">C12*Assumptions!$B$46*Assumptions!$B$47</f>
        <v>0.94471191</v>
      </c>
      <c r="I12" s="18" t="n">
        <f aca="false">I11*(1-Assumptions!$B$48)+H12</f>
        <v>3.13994858014798</v>
      </c>
      <c r="J12" s="19" t="n">
        <f aca="false">I12*Assumptions!$B$49</f>
        <v>59.6590230228117</v>
      </c>
      <c r="K12" s="41" t="n">
        <f aca="false">F12+G12+J12</f>
        <v>119.310786826812</v>
      </c>
    </row>
    <row r="13" customFormat="false" ht="15" hidden="false" customHeight="false" outlineLevel="0" collapsed="false">
      <c r="A13" s="35" t="n">
        <v>10</v>
      </c>
      <c r="B13" s="36" t="n">
        <v>0.22</v>
      </c>
      <c r="C13" s="37" t="n">
        <f aca="false">Keyword_Portfolio!$M$24*B13*Assumptions!$B$34</f>
        <v>2565.8842</v>
      </c>
      <c r="D13" s="37" t="n">
        <f aca="false">C13*Assumptions!$B$11</f>
        <v>4875.17998</v>
      </c>
      <c r="E13" s="38" t="n">
        <f aca="false">Assumptions!$B$10*IF(C13&gt;=50000,Assumptions!$B$7,IF(C13&gt;=10000,Assumptions!$B$6,Assumptions!$B$5))</f>
        <v>2.9548758435786</v>
      </c>
      <c r="F13" s="19" t="n">
        <f aca="false">D13/1000*E13</f>
        <v>14.405551556</v>
      </c>
      <c r="G13" s="39" t="n">
        <f aca="false">D13/1000*Assumptions!$B$17</f>
        <v>58.50215976</v>
      </c>
      <c r="H13" s="40" t="n">
        <f aca="false">C13*Assumptions!$B$46*Assumptions!$B$47</f>
        <v>1.15464789</v>
      </c>
      <c r="I13" s="18" t="n">
        <f aca="false">I12*(1-Assumptions!$B$48)+H13</f>
        <v>4.1061995553391</v>
      </c>
      <c r="J13" s="19" t="n">
        <f aca="false">I13*Assumptions!$B$49</f>
        <v>78.017791551443</v>
      </c>
      <c r="K13" s="41" t="n">
        <f aca="false">F13+G13+J13</f>
        <v>150.925502867443</v>
      </c>
    </row>
    <row r="14" customFormat="false" ht="15" hidden="false" customHeight="false" outlineLevel="0" collapsed="false">
      <c r="A14" s="35" t="n">
        <v>11</v>
      </c>
      <c r="B14" s="36" t="n">
        <v>0.26</v>
      </c>
      <c r="C14" s="37" t="n">
        <f aca="false">Keyword_Portfolio!$M$24*B14*Assumptions!$B$34</f>
        <v>3032.4086</v>
      </c>
      <c r="D14" s="37" t="n">
        <f aca="false">C14*Assumptions!$B$11</f>
        <v>5761.57634</v>
      </c>
      <c r="E14" s="38" t="n">
        <f aca="false">Assumptions!$B$10*IF(C14&gt;=50000,Assumptions!$B$7,IF(C14&gt;=10000,Assumptions!$B$6,Assumptions!$B$5))</f>
        <v>2.9548758435786</v>
      </c>
      <c r="F14" s="19" t="n">
        <f aca="false">D14/1000*E14</f>
        <v>17.024742748</v>
      </c>
      <c r="G14" s="39" t="n">
        <f aca="false">D14/1000*Assumptions!$B$17</f>
        <v>69.13891608</v>
      </c>
      <c r="H14" s="40" t="n">
        <f aca="false">C14*Assumptions!$B$46*Assumptions!$B$47</f>
        <v>1.36458387</v>
      </c>
      <c r="I14" s="18" t="n">
        <f aca="false">I13*(1-Assumptions!$B$48)+H14</f>
        <v>5.22441145201876</v>
      </c>
      <c r="J14" s="19" t="n">
        <f aca="false">I14*Assumptions!$B$49</f>
        <v>99.2638175883564</v>
      </c>
      <c r="K14" s="41" t="n">
        <f aca="false">F14+G14+J14</f>
        <v>185.427476416356</v>
      </c>
    </row>
    <row r="15" customFormat="false" ht="15" hidden="false" customHeight="false" outlineLevel="0" collapsed="false">
      <c r="A15" s="35" t="n">
        <v>12</v>
      </c>
      <c r="B15" s="36" t="n">
        <v>0.3</v>
      </c>
      <c r="C15" s="37" t="n">
        <f aca="false">Keyword_Portfolio!$M$24*B15*Assumptions!$B$34</f>
        <v>3498.933</v>
      </c>
      <c r="D15" s="37" t="n">
        <f aca="false">C15*Assumptions!$B$11</f>
        <v>6647.9727</v>
      </c>
      <c r="E15" s="38" t="n">
        <f aca="false">Assumptions!$B$10*IF(C15&gt;=50000,Assumptions!$B$7,IF(C15&gt;=10000,Assumptions!$B$6,Assumptions!$B$5))</f>
        <v>2.9548758435786</v>
      </c>
      <c r="F15" s="19" t="n">
        <f aca="false">D15/1000*E15</f>
        <v>19.64393394</v>
      </c>
      <c r="G15" s="39" t="n">
        <f aca="false">D15/1000*Assumptions!$B$17</f>
        <v>79.7756724</v>
      </c>
      <c r="H15" s="40" t="n">
        <f aca="false">C15*Assumptions!$B$46*Assumptions!$B$47</f>
        <v>1.57451985</v>
      </c>
      <c r="I15" s="18" t="n">
        <f aca="false">I14*(1-Assumptions!$B$48)+H15</f>
        <v>6.48546661489763</v>
      </c>
      <c r="J15" s="19" t="n">
        <f aca="false">I15*Assumptions!$B$49</f>
        <v>123.223865683055</v>
      </c>
      <c r="K15" s="41" t="n">
        <f aca="false">F15+G15+J15</f>
        <v>222.643472023055</v>
      </c>
    </row>
    <row r="16" customFormat="false" ht="15" hidden="false" customHeight="false" outlineLevel="0" collapsed="false">
      <c r="A16" s="35" t="n">
        <v>13</v>
      </c>
      <c r="B16" s="36" t="n">
        <v>0.35</v>
      </c>
      <c r="C16" s="37" t="n">
        <f aca="false">Keyword_Portfolio!$M$24*B16*Assumptions!$B$34</f>
        <v>4082.0885</v>
      </c>
      <c r="D16" s="37" t="n">
        <f aca="false">C16*Assumptions!$B$11</f>
        <v>7755.96815</v>
      </c>
      <c r="E16" s="38" t="n">
        <f aca="false">Assumptions!$B$10*IF(C16&gt;=50000,Assumptions!$B$7,IF(C16&gt;=10000,Assumptions!$B$6,Assumptions!$B$5))</f>
        <v>2.9548758435786</v>
      </c>
      <c r="F16" s="19" t="n">
        <f aca="false">D16/1000*E16</f>
        <v>22.91792293</v>
      </c>
      <c r="G16" s="39" t="n">
        <f aca="false">D16/1000*Assumptions!$B$17</f>
        <v>93.0716178</v>
      </c>
      <c r="H16" s="40" t="n">
        <f aca="false">C16*Assumptions!$B$46*Assumptions!$B$47</f>
        <v>1.836939825</v>
      </c>
      <c r="I16" s="18" t="n">
        <f aca="false">I15*(1-Assumptions!$B$48)+H16</f>
        <v>7.93327844300377</v>
      </c>
      <c r="J16" s="19" t="n">
        <f aca="false">I16*Assumptions!$B$49</f>
        <v>150.732290417072</v>
      </c>
      <c r="K16" s="41" t="n">
        <f aca="false">F16+G16+J16</f>
        <v>266.721831147072</v>
      </c>
    </row>
    <row r="17" customFormat="false" ht="15" hidden="false" customHeight="false" outlineLevel="0" collapsed="false">
      <c r="A17" s="35" t="n">
        <v>14</v>
      </c>
      <c r="B17" s="36" t="n">
        <v>0.4</v>
      </c>
      <c r="C17" s="37" t="n">
        <f aca="false">Keyword_Portfolio!$M$24*B17*Assumptions!$B$34</f>
        <v>4665.244</v>
      </c>
      <c r="D17" s="37" t="n">
        <f aca="false">C17*Assumptions!$B$11</f>
        <v>8863.9636</v>
      </c>
      <c r="E17" s="38" t="n">
        <f aca="false">Assumptions!$B$10*IF(C17&gt;=50000,Assumptions!$B$7,IF(C17&gt;=10000,Assumptions!$B$6,Assumptions!$B$5))</f>
        <v>2.9548758435786</v>
      </c>
      <c r="F17" s="19" t="n">
        <f aca="false">D17/1000*E17</f>
        <v>26.19191192</v>
      </c>
      <c r="G17" s="39" t="n">
        <f aca="false">D17/1000*Assumptions!$B$17</f>
        <v>106.3675632</v>
      </c>
      <c r="H17" s="40" t="n">
        <f aca="false">C17*Assumptions!$B$46*Assumptions!$B$47</f>
        <v>2.0993598</v>
      </c>
      <c r="I17" s="18" t="n">
        <f aca="false">I16*(1-Assumptions!$B$48)+H17</f>
        <v>9.55664153642355</v>
      </c>
      <c r="J17" s="19" t="n">
        <f aca="false">I17*Assumptions!$B$49</f>
        <v>181.576189192047</v>
      </c>
      <c r="K17" s="41" t="n">
        <f aca="false">F17+G17+J17</f>
        <v>314.135664312047</v>
      </c>
    </row>
    <row r="18" customFormat="false" ht="15" hidden="false" customHeight="false" outlineLevel="0" collapsed="false">
      <c r="A18" s="35" t="n">
        <v>15</v>
      </c>
      <c r="B18" s="36" t="n">
        <v>0.45</v>
      </c>
      <c r="C18" s="37" t="n">
        <f aca="false">Keyword_Portfolio!$M$24*B18*Assumptions!$B$34</f>
        <v>5248.3995</v>
      </c>
      <c r="D18" s="37" t="n">
        <f aca="false">C18*Assumptions!$B$11</f>
        <v>9971.95905</v>
      </c>
      <c r="E18" s="38" t="n">
        <f aca="false">Assumptions!$B$10*IF(C18&gt;=50000,Assumptions!$B$7,IF(C18&gt;=10000,Assumptions!$B$6,Assumptions!$B$5))</f>
        <v>2.9548758435786</v>
      </c>
      <c r="F18" s="19" t="n">
        <f aca="false">D18/1000*E18</f>
        <v>29.46590091</v>
      </c>
      <c r="G18" s="39" t="n">
        <f aca="false">D18/1000*Assumptions!$B$17</f>
        <v>119.6635086</v>
      </c>
      <c r="H18" s="40" t="n">
        <f aca="false">C18*Assumptions!$B$46*Assumptions!$B$47</f>
        <v>2.361779775</v>
      </c>
      <c r="I18" s="18" t="n">
        <f aca="false">I17*(1-Assumptions!$B$48)+H18</f>
        <v>11.3450228192381</v>
      </c>
      <c r="J18" s="19" t="n">
        <f aca="false">I18*Assumptions!$B$49</f>
        <v>215.555433565525</v>
      </c>
      <c r="K18" s="41" t="n">
        <f aca="false">F18+G18+J18</f>
        <v>364.684843075525</v>
      </c>
    </row>
    <row r="19" customFormat="false" ht="15" hidden="false" customHeight="false" outlineLevel="0" collapsed="false">
      <c r="A19" s="35" t="n">
        <v>16</v>
      </c>
      <c r="B19" s="36" t="n">
        <v>0.5</v>
      </c>
      <c r="C19" s="37" t="n">
        <f aca="false">Keyword_Portfolio!$M$24*B19*Assumptions!$B$34</f>
        <v>5831.555</v>
      </c>
      <c r="D19" s="37" t="n">
        <f aca="false">C19*Assumptions!$B$11</f>
        <v>11079.9545</v>
      </c>
      <c r="E19" s="38" t="n">
        <f aca="false">Assumptions!$B$10*IF(C19&gt;=50000,Assumptions!$B$7,IF(C19&gt;=10000,Assumptions!$B$6,Assumptions!$B$5))</f>
        <v>2.9548758435786</v>
      </c>
      <c r="F19" s="19" t="n">
        <f aca="false">D19/1000*E19</f>
        <v>32.7398899</v>
      </c>
      <c r="G19" s="39" t="n">
        <f aca="false">D19/1000*Assumptions!$B$17</f>
        <v>132.959454</v>
      </c>
      <c r="H19" s="40" t="n">
        <f aca="false">C19*Assumptions!$B$46*Assumptions!$B$47</f>
        <v>2.62419975</v>
      </c>
      <c r="I19" s="18" t="n">
        <f aca="false">I18*(1-Assumptions!$B$48)+H19</f>
        <v>13.2885212000838</v>
      </c>
      <c r="J19" s="19" t="n">
        <f aca="false">I19*Assumptions!$B$49</f>
        <v>252.481902801593</v>
      </c>
      <c r="K19" s="41" t="n">
        <f aca="false">F19+G19+J19</f>
        <v>418.181246701593</v>
      </c>
    </row>
    <row r="20" customFormat="false" ht="15" hidden="false" customHeight="false" outlineLevel="0" collapsed="false">
      <c r="A20" s="35" t="n">
        <v>17</v>
      </c>
      <c r="B20" s="36" t="n">
        <v>0.55</v>
      </c>
      <c r="C20" s="37" t="n">
        <f aca="false">Keyword_Portfolio!$M$24*B20*Assumptions!$B$34</f>
        <v>6414.7105</v>
      </c>
      <c r="D20" s="37" t="n">
        <f aca="false">C20*Assumptions!$B$11</f>
        <v>12187.94995</v>
      </c>
      <c r="E20" s="38" t="n">
        <f aca="false">Assumptions!$B$10*IF(C20&gt;=50000,Assumptions!$B$7,IF(C20&gt;=10000,Assumptions!$B$6,Assumptions!$B$5))</f>
        <v>2.9548758435786</v>
      </c>
      <c r="F20" s="19" t="n">
        <f aca="false">D20/1000*E20</f>
        <v>36.01387889</v>
      </c>
      <c r="G20" s="39" t="n">
        <f aca="false">D20/1000*Assumptions!$B$17</f>
        <v>146.2553994</v>
      </c>
      <c r="H20" s="40" t="n">
        <f aca="false">C20*Assumptions!$B$46*Assumptions!$B$47</f>
        <v>2.886619725</v>
      </c>
      <c r="I20" s="18" t="n">
        <f aca="false">I19*(1-Assumptions!$B$48)+H20</f>
        <v>15.3778296530788</v>
      </c>
      <c r="J20" s="19" t="n">
        <f aca="false">I20*Assumptions!$B$49</f>
        <v>292.178763408497</v>
      </c>
      <c r="K20" s="41" t="n">
        <f aca="false">F20+G20+J20</f>
        <v>474.448041698497</v>
      </c>
    </row>
    <row r="21" customFormat="false" ht="15" hidden="false" customHeight="false" outlineLevel="0" collapsed="false">
      <c r="A21" s="35" t="n">
        <v>18</v>
      </c>
      <c r="B21" s="36" t="n">
        <v>0.6</v>
      </c>
      <c r="C21" s="37" t="n">
        <f aca="false">Keyword_Portfolio!$M$24*B21*Assumptions!$B$34</f>
        <v>6997.866</v>
      </c>
      <c r="D21" s="37" t="n">
        <f aca="false">C21*Assumptions!$B$11</f>
        <v>13295.9454</v>
      </c>
      <c r="E21" s="38" t="n">
        <f aca="false">Assumptions!$B$10*IF(C21&gt;=50000,Assumptions!$B$7,IF(C21&gt;=10000,Assumptions!$B$6,Assumptions!$B$5))</f>
        <v>2.9548758435786</v>
      </c>
      <c r="F21" s="19" t="n">
        <f aca="false">D21/1000*E21</f>
        <v>39.28786788</v>
      </c>
      <c r="G21" s="39" t="n">
        <f aca="false">D21/1000*Assumptions!$B$17</f>
        <v>159.5513448</v>
      </c>
      <c r="H21" s="40" t="n">
        <f aca="false">C21*Assumptions!$B$46*Assumptions!$B$47</f>
        <v>3.1490397</v>
      </c>
      <c r="I21" s="18" t="n">
        <f aca="false">I20*(1-Assumptions!$B$48)+H21</f>
        <v>17.6041995738941</v>
      </c>
      <c r="J21" s="19" t="n">
        <f aca="false">I21*Assumptions!$B$49</f>
        <v>334.479791903988</v>
      </c>
      <c r="K21" s="41" t="n">
        <f aca="false">F21+G21+J21</f>
        <v>533.319004583988</v>
      </c>
    </row>
    <row r="22" customFormat="false" ht="15" hidden="false" customHeight="false" outlineLevel="0" collapsed="false">
      <c r="A22" s="35" t="n">
        <v>19</v>
      </c>
      <c r="B22" s="36" t="n">
        <v>0.64</v>
      </c>
      <c r="C22" s="37" t="n">
        <f aca="false">Keyword_Portfolio!$M$24*B22*Assumptions!$B$34</f>
        <v>7464.3904</v>
      </c>
      <c r="D22" s="37" t="n">
        <f aca="false">C22*Assumptions!$B$11</f>
        <v>14182.34176</v>
      </c>
      <c r="E22" s="38" t="n">
        <f aca="false">Assumptions!$B$10*IF(C22&gt;=50000,Assumptions!$B$7,IF(C22&gt;=10000,Assumptions!$B$6,Assumptions!$B$5))</f>
        <v>2.9548758435786</v>
      </c>
      <c r="F22" s="19" t="n">
        <f aca="false">D22/1000*E22</f>
        <v>41.907059072</v>
      </c>
      <c r="G22" s="39" t="n">
        <f aca="false">D22/1000*Assumptions!$B$17</f>
        <v>170.18810112</v>
      </c>
      <c r="H22" s="40" t="n">
        <f aca="false">C22*Assumptions!$B$46*Assumptions!$B$47</f>
        <v>3.35897568</v>
      </c>
      <c r="I22" s="18" t="n">
        <f aca="false">I21*(1-Assumptions!$B$48)+H22</f>
        <v>19.9069232794604</v>
      </c>
      <c r="J22" s="19" t="n">
        <f aca="false">I22*Assumptions!$B$49</f>
        <v>378.231542309748</v>
      </c>
      <c r="K22" s="41" t="n">
        <f aca="false">F22+G22+J22</f>
        <v>590.326702501748</v>
      </c>
    </row>
    <row r="23" customFormat="false" ht="15" hidden="false" customHeight="false" outlineLevel="0" collapsed="false">
      <c r="A23" s="35" t="n">
        <v>20</v>
      </c>
      <c r="B23" s="36" t="n">
        <v>0.68</v>
      </c>
      <c r="C23" s="37" t="n">
        <f aca="false">Keyword_Portfolio!$M$24*B23*Assumptions!$B$34</f>
        <v>7930.9148</v>
      </c>
      <c r="D23" s="37" t="n">
        <f aca="false">C23*Assumptions!$B$11</f>
        <v>15068.73812</v>
      </c>
      <c r="E23" s="38" t="n">
        <f aca="false">Assumptions!$B$10*IF(C23&gt;=50000,Assumptions!$B$7,IF(C23&gt;=10000,Assumptions!$B$6,Assumptions!$B$5))</f>
        <v>2.9548758435786</v>
      </c>
      <c r="F23" s="19" t="n">
        <f aca="false">D23/1000*E23</f>
        <v>44.526250264</v>
      </c>
      <c r="G23" s="39" t="n">
        <f aca="false">D23/1000*Assumptions!$B$17</f>
        <v>180.82485744</v>
      </c>
      <c r="H23" s="40" t="n">
        <f aca="false">C23*Assumptions!$B$46*Assumptions!$B$47</f>
        <v>3.56891166</v>
      </c>
      <c r="I23" s="18" t="n">
        <f aca="false">I22*(1-Assumptions!$B$48)+H23</f>
        <v>22.2814195426928</v>
      </c>
      <c r="J23" s="19" t="n">
        <f aca="false">I23*Assumptions!$B$49</f>
        <v>423.346971311163</v>
      </c>
      <c r="K23" s="41" t="n">
        <f aca="false">F23+G23+J23</f>
        <v>648.698079015163</v>
      </c>
    </row>
    <row r="24" customFormat="false" ht="15" hidden="false" customHeight="false" outlineLevel="0" collapsed="false">
      <c r="A24" s="35" t="n">
        <v>21</v>
      </c>
      <c r="B24" s="36" t="n">
        <v>0.72</v>
      </c>
      <c r="C24" s="37" t="n">
        <f aca="false">Keyword_Portfolio!$M$24*B24*Assumptions!$B$34</f>
        <v>8397.4392</v>
      </c>
      <c r="D24" s="37" t="n">
        <f aca="false">C24*Assumptions!$B$11</f>
        <v>15955.13448</v>
      </c>
      <c r="E24" s="38" t="n">
        <f aca="false">Assumptions!$B$10*IF(C24&gt;=50000,Assumptions!$B$7,IF(C24&gt;=10000,Assumptions!$B$6,Assumptions!$B$5))</f>
        <v>2.9548758435786</v>
      </c>
      <c r="F24" s="19" t="n">
        <f aca="false">D24/1000*E24</f>
        <v>47.145441456</v>
      </c>
      <c r="G24" s="39" t="n">
        <f aca="false">D24/1000*Assumptions!$B$17</f>
        <v>191.46161376</v>
      </c>
      <c r="H24" s="40" t="n">
        <f aca="false">C24*Assumptions!$B$46*Assumptions!$B$47</f>
        <v>3.77884764</v>
      </c>
      <c r="I24" s="18" t="n">
        <f aca="false">I23*(1-Assumptions!$B$48)+H24</f>
        <v>24.7233820101312</v>
      </c>
      <c r="J24" s="19" t="n">
        <f aca="false">I24*Assumptions!$B$49</f>
        <v>469.744258192494</v>
      </c>
      <c r="K24" s="41" t="n">
        <f aca="false">F24+G24+J24</f>
        <v>708.351313408494</v>
      </c>
    </row>
    <row r="25" customFormat="false" ht="15" hidden="false" customHeight="false" outlineLevel="0" collapsed="false">
      <c r="A25" s="35" t="n">
        <v>22</v>
      </c>
      <c r="B25" s="36" t="n">
        <v>0.76</v>
      </c>
      <c r="C25" s="37" t="n">
        <f aca="false">Keyword_Portfolio!$M$24*B25*Assumptions!$B$34</f>
        <v>8863.9636</v>
      </c>
      <c r="D25" s="37" t="n">
        <f aca="false">C25*Assumptions!$B$11</f>
        <v>16841.53084</v>
      </c>
      <c r="E25" s="38" t="n">
        <f aca="false">Assumptions!$B$10*IF(C25&gt;=50000,Assumptions!$B$7,IF(C25&gt;=10000,Assumptions!$B$6,Assumptions!$B$5))</f>
        <v>2.9548758435786</v>
      </c>
      <c r="F25" s="19" t="n">
        <f aca="false">D25/1000*E25</f>
        <v>49.764632648</v>
      </c>
      <c r="G25" s="39" t="n">
        <f aca="false">D25/1000*Assumptions!$B$17</f>
        <v>202.09837008</v>
      </c>
      <c r="H25" s="40" t="n">
        <f aca="false">C25*Assumptions!$B$46*Assumptions!$B$47</f>
        <v>3.98878362</v>
      </c>
      <c r="I25" s="18" t="n">
        <f aca="false">I24*(1-Assumptions!$B$48)+H25</f>
        <v>27.2287627095234</v>
      </c>
      <c r="J25" s="19" t="n">
        <f aca="false">I25*Assumptions!$B$49</f>
        <v>517.346491480944</v>
      </c>
      <c r="K25" s="41" t="n">
        <f aca="false">F25+G25+J25</f>
        <v>769.209494208944</v>
      </c>
    </row>
    <row r="26" customFormat="false" ht="15" hidden="false" customHeight="false" outlineLevel="0" collapsed="false">
      <c r="A26" s="35" t="n">
        <v>23</v>
      </c>
      <c r="B26" s="36" t="n">
        <v>0.8</v>
      </c>
      <c r="C26" s="37" t="n">
        <f aca="false">Keyword_Portfolio!$M$24*B26*Assumptions!$B$34</f>
        <v>9330.488</v>
      </c>
      <c r="D26" s="37" t="n">
        <f aca="false">C26*Assumptions!$B$11</f>
        <v>17727.9272</v>
      </c>
      <c r="E26" s="38" t="n">
        <f aca="false">Assumptions!$B$10*IF(C26&gt;=50000,Assumptions!$B$7,IF(C26&gt;=10000,Assumptions!$B$6,Assumptions!$B$5))</f>
        <v>2.9548758435786</v>
      </c>
      <c r="F26" s="19" t="n">
        <f aca="false">D26/1000*E26</f>
        <v>52.38382384</v>
      </c>
      <c r="G26" s="39" t="n">
        <f aca="false">D26/1000*Assumptions!$B$17</f>
        <v>212.7351264</v>
      </c>
      <c r="H26" s="40" t="n">
        <f aca="false">C26*Assumptions!$B$46*Assumptions!$B$47</f>
        <v>4.1987196</v>
      </c>
      <c r="I26" s="18" t="n">
        <f aca="false">I25*(1-Assumptions!$B$48)+H26</f>
        <v>29.793756546952</v>
      </c>
      <c r="J26" s="19" t="n">
        <f aca="false">I26*Assumptions!$B$49</f>
        <v>566.081374392087</v>
      </c>
      <c r="K26" s="41" t="n">
        <f aca="false">F26+G26+J26</f>
        <v>831.200324632087</v>
      </c>
    </row>
    <row r="27" customFormat="false" ht="15" hidden="false" customHeight="false" outlineLevel="0" collapsed="false">
      <c r="A27" s="35" t="n">
        <v>24</v>
      </c>
      <c r="B27" s="36" t="n">
        <v>0.83</v>
      </c>
      <c r="C27" s="37" t="n">
        <f aca="false">Keyword_Portfolio!$M$24*B27*Assumptions!$B$34</f>
        <v>9680.3813</v>
      </c>
      <c r="D27" s="37" t="n">
        <f aca="false">C27*Assumptions!$B$11</f>
        <v>18392.72447</v>
      </c>
      <c r="E27" s="38" t="n">
        <f aca="false">Assumptions!$B$10*IF(C27&gt;=50000,Assumptions!$B$7,IF(C27&gt;=10000,Assumptions!$B$6,Assumptions!$B$5))</f>
        <v>2.9548758435786</v>
      </c>
      <c r="F27" s="19" t="n">
        <f aca="false">D27/1000*E27</f>
        <v>54.348217234</v>
      </c>
      <c r="G27" s="39" t="n">
        <f aca="false">D27/1000*Assumptions!$B$17</f>
        <v>220.71269364</v>
      </c>
      <c r="H27" s="40" t="n">
        <f aca="false">C27*Assumptions!$B$46*Assumptions!$B$47</f>
        <v>4.356171585</v>
      </c>
      <c r="I27" s="18" t="n">
        <f aca="false">I26*(1-Assumptions!$B$48)+H27</f>
        <v>32.3623027391348</v>
      </c>
      <c r="J27" s="19" t="n">
        <f aca="false">I27*Assumptions!$B$49</f>
        <v>614.883752043562</v>
      </c>
      <c r="K27" s="41" t="n">
        <f aca="false">F27+G27+J27</f>
        <v>889.944662917562</v>
      </c>
    </row>
    <row r="28" customFormat="false" ht="15" hidden="false" customHeight="false" outlineLevel="0" collapsed="false">
      <c r="A28" s="35" t="n">
        <v>25</v>
      </c>
      <c r="B28" s="36" t="n">
        <v>0.86</v>
      </c>
      <c r="C28" s="37" t="n">
        <f aca="false">Keyword_Portfolio!$M$24*B28*Assumptions!$B$34</f>
        <v>10030.2746</v>
      </c>
      <c r="D28" s="37" t="n">
        <f aca="false">C28*Assumptions!$B$11</f>
        <v>19057.52174</v>
      </c>
      <c r="E28" s="38" t="n">
        <f aca="false">Assumptions!$B$10*IF(C28&gt;=50000,Assumptions!$B$7,IF(C28&gt;=10000,Assumptions!$B$6,Assumptions!$B$5))</f>
        <v>5.9097516871572</v>
      </c>
      <c r="F28" s="19" t="n">
        <f aca="false">D28/1000*E28</f>
        <v>112.625221256</v>
      </c>
      <c r="G28" s="39" t="n">
        <f aca="false">D28/1000*Assumptions!$B$17</f>
        <v>228.69026088</v>
      </c>
      <c r="H28" s="40" t="n">
        <f aca="false">C28*Assumptions!$B$46*Assumptions!$B$47</f>
        <v>4.51362357</v>
      </c>
      <c r="I28" s="18" t="n">
        <f aca="false">I27*(1-Assumptions!$B$48)+H28</f>
        <v>34.9341881447867</v>
      </c>
      <c r="J28" s="19" t="n">
        <f aca="false">I28*Assumptions!$B$49</f>
        <v>663.749574750948</v>
      </c>
      <c r="K28" s="41" t="n">
        <f aca="false">F28+G28+J28</f>
        <v>1005.06505688695</v>
      </c>
    </row>
    <row r="29" customFormat="false" ht="15" hidden="false" customHeight="false" outlineLevel="0" collapsed="false">
      <c r="A29" s="35" t="n">
        <v>26</v>
      </c>
      <c r="B29" s="36" t="n">
        <v>0.88</v>
      </c>
      <c r="C29" s="37" t="n">
        <f aca="false">Keyword_Portfolio!$M$24*B29*Assumptions!$B$34</f>
        <v>10263.5368</v>
      </c>
      <c r="D29" s="37" t="n">
        <f aca="false">C29*Assumptions!$B$11</f>
        <v>19500.71992</v>
      </c>
      <c r="E29" s="38" t="n">
        <f aca="false">Assumptions!$B$10*IF(C29&gt;=50000,Assumptions!$B$7,IF(C29&gt;=10000,Assumptions!$B$6,Assumptions!$B$5))</f>
        <v>5.9097516871572</v>
      </c>
      <c r="F29" s="19" t="n">
        <f aca="false">D29/1000*E29</f>
        <v>115.244412448</v>
      </c>
      <c r="G29" s="39" t="n">
        <f aca="false">D29/1000*Assumptions!$B$17</f>
        <v>234.00863904</v>
      </c>
      <c r="H29" s="40" t="n">
        <f aca="false">C29*Assumptions!$B$46*Assumptions!$B$47</f>
        <v>4.61859156</v>
      </c>
      <c r="I29" s="18" t="n">
        <f aca="false">I28*(1-Assumptions!$B$48)+H29</f>
        <v>37.4567284160995</v>
      </c>
      <c r="J29" s="19" t="n">
        <f aca="false">I29*Assumptions!$B$49</f>
        <v>711.677839905891</v>
      </c>
      <c r="K29" s="41" t="n">
        <f aca="false">F29+G29+J29</f>
        <v>1060.93089139389</v>
      </c>
    </row>
    <row r="30" customFormat="false" ht="15" hidden="false" customHeight="false" outlineLevel="0" collapsed="false">
      <c r="A30" s="35" t="n">
        <v>27</v>
      </c>
      <c r="B30" s="36" t="n">
        <v>0.9</v>
      </c>
      <c r="C30" s="37" t="n">
        <f aca="false">Keyword_Portfolio!$M$24*B30*Assumptions!$B$34</f>
        <v>10496.799</v>
      </c>
      <c r="D30" s="37" t="n">
        <f aca="false">C30*Assumptions!$B$11</f>
        <v>19943.9181</v>
      </c>
      <c r="E30" s="38" t="n">
        <f aca="false">Assumptions!$B$10*IF(C30&gt;=50000,Assumptions!$B$7,IF(C30&gt;=10000,Assumptions!$B$6,Assumptions!$B$5))</f>
        <v>5.9097516871572</v>
      </c>
      <c r="F30" s="19" t="n">
        <f aca="false">D30/1000*E30</f>
        <v>117.86360364</v>
      </c>
      <c r="G30" s="39" t="n">
        <f aca="false">D30/1000*Assumptions!$B$17</f>
        <v>239.3270172</v>
      </c>
      <c r="H30" s="40" t="n">
        <f aca="false">C30*Assumptions!$B$46*Assumptions!$B$47</f>
        <v>4.72355955</v>
      </c>
      <c r="I30" s="18" t="n">
        <f aca="false">I29*(1-Assumptions!$B$48)+H30</f>
        <v>39.9328842611336</v>
      </c>
      <c r="J30" s="19" t="n">
        <f aca="false">I30*Assumptions!$B$49</f>
        <v>758.724800961538</v>
      </c>
      <c r="K30" s="41" t="n">
        <f aca="false">F30+G30+J30</f>
        <v>1115.91542180154</v>
      </c>
    </row>
    <row r="31" customFormat="false" ht="15" hidden="false" customHeight="false" outlineLevel="0" collapsed="false">
      <c r="A31" s="35" t="n">
        <v>28</v>
      </c>
      <c r="B31" s="36" t="n">
        <v>0.92</v>
      </c>
      <c r="C31" s="37" t="n">
        <f aca="false">Keyword_Portfolio!$M$24*B31*Assumptions!$B$34</f>
        <v>10730.0612</v>
      </c>
      <c r="D31" s="37" t="n">
        <f aca="false">C31*Assumptions!$B$11</f>
        <v>20387.11628</v>
      </c>
      <c r="E31" s="38" t="n">
        <f aca="false">Assumptions!$B$10*IF(C31&gt;=50000,Assumptions!$B$7,IF(C31&gt;=10000,Assumptions!$B$6,Assumptions!$B$5))</f>
        <v>5.9097516871572</v>
      </c>
      <c r="F31" s="19" t="n">
        <f aca="false">D31/1000*E31</f>
        <v>120.482794832</v>
      </c>
      <c r="G31" s="39" t="n">
        <f aca="false">D31/1000*Assumptions!$B$17</f>
        <v>244.64539536</v>
      </c>
      <c r="H31" s="40" t="n">
        <f aca="false">C31*Assumptions!$B$46*Assumptions!$B$47</f>
        <v>4.82852754</v>
      </c>
      <c r="I31" s="18" t="n">
        <f aca="false">I30*(1-Assumptions!$B$48)+H31</f>
        <v>42.3654387454655</v>
      </c>
      <c r="J31" s="19" t="n">
        <f aca="false">I31*Assumptions!$B$49</f>
        <v>804.943336163845</v>
      </c>
      <c r="K31" s="41" t="n">
        <f aca="false">F31+G31+J31</f>
        <v>1170.07152635585</v>
      </c>
    </row>
    <row r="32" customFormat="false" ht="15" hidden="false" customHeight="false" outlineLevel="0" collapsed="false">
      <c r="A32" s="35" t="n">
        <v>29</v>
      </c>
      <c r="B32" s="36" t="n">
        <v>0.94</v>
      </c>
      <c r="C32" s="37" t="n">
        <f aca="false">Keyword_Portfolio!$M$24*B32*Assumptions!$B$34</f>
        <v>10963.3234</v>
      </c>
      <c r="D32" s="37" t="n">
        <f aca="false">C32*Assumptions!$B$11</f>
        <v>20830.31446</v>
      </c>
      <c r="E32" s="38" t="n">
        <f aca="false">Assumptions!$B$10*IF(C32&gt;=50000,Assumptions!$B$7,IF(C32&gt;=10000,Assumptions!$B$6,Assumptions!$B$5))</f>
        <v>5.9097516871572</v>
      </c>
      <c r="F32" s="19" t="n">
        <f aca="false">D32/1000*E32</f>
        <v>123.101986024</v>
      </c>
      <c r="G32" s="39" t="n">
        <f aca="false">D32/1000*Assumptions!$B$17</f>
        <v>249.96377352</v>
      </c>
      <c r="H32" s="40" t="n">
        <f aca="false">C32*Assumptions!$B$46*Assumptions!$B$47</f>
        <v>4.93349553</v>
      </c>
      <c r="I32" s="18" t="n">
        <f aca="false">I31*(1-Assumptions!$B$48)+H32</f>
        <v>44.7570079507376</v>
      </c>
      <c r="J32" s="19" t="n">
        <f aca="false">I32*Assumptions!$B$49</f>
        <v>850.383151064015</v>
      </c>
      <c r="K32" s="41" t="n">
        <f aca="false">F32+G32+J32</f>
        <v>1223.44891060801</v>
      </c>
    </row>
    <row r="33" customFormat="false" ht="15" hidden="false" customHeight="false" outlineLevel="0" collapsed="false">
      <c r="A33" s="35" t="n">
        <v>30</v>
      </c>
      <c r="B33" s="36" t="n">
        <v>0.95</v>
      </c>
      <c r="C33" s="37" t="n">
        <f aca="false">Keyword_Portfolio!$M$24*B33*Assumptions!$B$34</f>
        <v>11079.9545</v>
      </c>
      <c r="D33" s="37" t="n">
        <f aca="false">C33*Assumptions!$B$11</f>
        <v>21051.91355</v>
      </c>
      <c r="E33" s="38" t="n">
        <f aca="false">Assumptions!$B$10*IF(C33&gt;=50000,Assumptions!$B$7,IF(C33&gt;=10000,Assumptions!$B$6,Assumptions!$B$5))</f>
        <v>5.9097516871572</v>
      </c>
      <c r="F33" s="19" t="n">
        <f aca="false">D33/1000*E33</f>
        <v>124.41158162</v>
      </c>
      <c r="G33" s="39" t="n">
        <f aca="false">D33/1000*Assumptions!$B$17</f>
        <v>252.6229626</v>
      </c>
      <c r="H33" s="40" t="n">
        <f aca="false">C33*Assumptions!$B$46*Assumptions!$B$47</f>
        <v>4.985979525</v>
      </c>
      <c r="I33" s="18" t="n">
        <f aca="false">I32*(1-Assumptions!$B$48)+H33</f>
        <v>47.0575669986933</v>
      </c>
      <c r="J33" s="19" t="n">
        <f aca="false">I33*Assumptions!$B$49</f>
        <v>894.093772975174</v>
      </c>
      <c r="K33" s="41" t="n">
        <f aca="false">F33+G33+J33</f>
        <v>1271.12831719517</v>
      </c>
    </row>
    <row r="34" customFormat="false" ht="15" hidden="false" customHeight="false" outlineLevel="0" collapsed="false">
      <c r="A34" s="35" t="n">
        <v>31</v>
      </c>
      <c r="B34" s="36" t="n">
        <v>0.96</v>
      </c>
      <c r="C34" s="37" t="n">
        <f aca="false">Keyword_Portfolio!$M$24*B34*Assumptions!$B$34</f>
        <v>11196.5856</v>
      </c>
      <c r="D34" s="37" t="n">
        <f aca="false">C34*Assumptions!$B$11</f>
        <v>21273.51264</v>
      </c>
      <c r="E34" s="38" t="n">
        <f aca="false">Assumptions!$B$10*IF(C34&gt;=50000,Assumptions!$B$7,IF(C34&gt;=10000,Assumptions!$B$6,Assumptions!$B$5))</f>
        <v>5.9097516871572</v>
      </c>
      <c r="F34" s="19" t="n">
        <f aca="false">D34/1000*E34</f>
        <v>125.721177216</v>
      </c>
      <c r="G34" s="39" t="n">
        <f aca="false">D34/1000*Assumptions!$B$17</f>
        <v>255.28215168</v>
      </c>
      <c r="H34" s="40" t="n">
        <f aca="false">C34*Assumptions!$B$46*Assumptions!$B$47</f>
        <v>5.03846352</v>
      </c>
      <c r="I34" s="18" t="n">
        <f aca="false">I33*(1-Assumptions!$B$48)+H34</f>
        <v>49.2725764987717</v>
      </c>
      <c r="J34" s="19" t="n">
        <f aca="false">I34*Assumptions!$B$49</f>
        <v>936.178953476663</v>
      </c>
      <c r="K34" s="41" t="n">
        <f aca="false">F34+G34+J34</f>
        <v>1317.18228237266</v>
      </c>
    </row>
    <row r="35" customFormat="false" ht="15" hidden="false" customHeight="false" outlineLevel="0" collapsed="false">
      <c r="A35" s="35" t="n">
        <v>32</v>
      </c>
      <c r="B35" s="36" t="n">
        <v>0.97</v>
      </c>
      <c r="C35" s="37" t="n">
        <f aca="false">Keyword_Portfolio!$M$24*B35*Assumptions!$B$34</f>
        <v>11313.2167</v>
      </c>
      <c r="D35" s="37" t="n">
        <f aca="false">C35*Assumptions!$B$11</f>
        <v>21495.11173</v>
      </c>
      <c r="E35" s="38" t="n">
        <f aca="false">Assumptions!$B$10*IF(C35&gt;=50000,Assumptions!$B$7,IF(C35&gt;=10000,Assumptions!$B$6,Assumptions!$B$5))</f>
        <v>5.9097516871572</v>
      </c>
      <c r="F35" s="19" t="n">
        <f aca="false">D35/1000*E35</f>
        <v>127.030772812</v>
      </c>
      <c r="G35" s="39" t="n">
        <f aca="false">D35/1000*Assumptions!$B$17</f>
        <v>257.94134076</v>
      </c>
      <c r="H35" s="40" t="n">
        <f aca="false">C35*Assumptions!$B$46*Assumptions!$B$47</f>
        <v>5.090947515</v>
      </c>
      <c r="I35" s="18" t="n">
        <f aca="false">I34*(1-Assumptions!$B$48)+H35</f>
        <v>51.4071694238454</v>
      </c>
      <c r="J35" s="19" t="n">
        <f aca="false">I35*Assumptions!$B$49</f>
        <v>976.736219053063</v>
      </c>
      <c r="K35" s="41" t="n">
        <f aca="false">F35+G35+J35</f>
        <v>1361.70833262506</v>
      </c>
    </row>
    <row r="36" customFormat="false" ht="15" hidden="false" customHeight="false" outlineLevel="0" collapsed="false">
      <c r="A36" s="35" t="n">
        <v>33</v>
      </c>
      <c r="B36" s="36" t="n">
        <v>0.98</v>
      </c>
      <c r="C36" s="37" t="n">
        <f aca="false">Keyword_Portfolio!$M$24*B36*Assumptions!$B$34</f>
        <v>11429.8478</v>
      </c>
      <c r="D36" s="37" t="n">
        <f aca="false">C36*Assumptions!$B$11</f>
        <v>21716.71082</v>
      </c>
      <c r="E36" s="38" t="n">
        <f aca="false">Assumptions!$B$10*IF(C36&gt;=50000,Assumptions!$B$7,IF(C36&gt;=10000,Assumptions!$B$6,Assumptions!$B$5))</f>
        <v>5.9097516871572</v>
      </c>
      <c r="F36" s="19" t="n">
        <f aca="false">D36/1000*E36</f>
        <v>128.340368408</v>
      </c>
      <c r="G36" s="39" t="n">
        <f aca="false">D36/1000*Assumptions!$B$17</f>
        <v>260.60052984</v>
      </c>
      <c r="H36" s="40" t="n">
        <f aca="false">C36*Assumptions!$B$46*Assumptions!$B$47</f>
        <v>5.14343151</v>
      </c>
      <c r="I36" s="18" t="n">
        <f aca="false">I35*(1-Assumptions!$B$48)+H36</f>
        <v>53.4661707684147</v>
      </c>
      <c r="J36" s="19" t="n">
        <f aca="false">I36*Assumptions!$B$49</f>
        <v>1015.85724459988</v>
      </c>
      <c r="K36" s="41" t="n">
        <f aca="false">F36+G36+J36</f>
        <v>1404.79814284788</v>
      </c>
    </row>
    <row r="37" customFormat="false" ht="15" hidden="false" customHeight="false" outlineLevel="0" collapsed="false">
      <c r="A37" s="35" t="n">
        <v>34</v>
      </c>
      <c r="B37" s="36" t="n">
        <v>0.99</v>
      </c>
      <c r="C37" s="37" t="n">
        <f aca="false">Keyword_Portfolio!$M$24*B37*Assumptions!$B$34</f>
        <v>11546.4789</v>
      </c>
      <c r="D37" s="37" t="n">
        <f aca="false">C37*Assumptions!$B$11</f>
        <v>21938.30991</v>
      </c>
      <c r="E37" s="38" t="n">
        <f aca="false">Assumptions!$B$10*IF(C37&gt;=50000,Assumptions!$B$7,IF(C37&gt;=10000,Assumptions!$B$6,Assumptions!$B$5))</f>
        <v>5.9097516871572</v>
      </c>
      <c r="F37" s="19" t="n">
        <f aca="false">D37/1000*E37</f>
        <v>129.649964004</v>
      </c>
      <c r="G37" s="39" t="n">
        <f aca="false">D37/1000*Assumptions!$B$17</f>
        <v>263.25971892</v>
      </c>
      <c r="H37" s="40" t="n">
        <f aca="false">C37*Assumptions!$B$46*Assumptions!$B$47</f>
        <v>5.195915505</v>
      </c>
      <c r="I37" s="18" t="n">
        <f aca="false">I36*(1-Assumptions!$B$48)+H37</f>
        <v>55.4541160273098</v>
      </c>
      <c r="J37" s="19" t="n">
        <f aca="false">I37*Assumptions!$B$49</f>
        <v>1053.62820451889</v>
      </c>
      <c r="K37" s="41" t="n">
        <f aca="false">F37+G37+J37</f>
        <v>1446.53788744289</v>
      </c>
    </row>
    <row r="38" customFormat="false" ht="15" hidden="false" customHeight="false" outlineLevel="0" collapsed="false">
      <c r="A38" s="35" t="n">
        <v>35</v>
      </c>
      <c r="B38" s="36" t="n">
        <v>0.99</v>
      </c>
      <c r="C38" s="37" t="n">
        <f aca="false">Keyword_Portfolio!$M$24*B38*Assumptions!$B$34</f>
        <v>11546.4789</v>
      </c>
      <c r="D38" s="37" t="n">
        <f aca="false">C38*Assumptions!$B$11</f>
        <v>21938.30991</v>
      </c>
      <c r="E38" s="38" t="n">
        <f aca="false">Assumptions!$B$10*IF(C38&gt;=50000,Assumptions!$B$7,IF(C38&gt;=10000,Assumptions!$B$6,Assumptions!$B$5))</f>
        <v>5.9097516871572</v>
      </c>
      <c r="F38" s="19" t="n">
        <f aca="false">D38/1000*E38</f>
        <v>129.649964004</v>
      </c>
      <c r="G38" s="39" t="n">
        <f aca="false">D38/1000*Assumptions!$B$17</f>
        <v>263.25971892</v>
      </c>
      <c r="H38" s="40" t="n">
        <f aca="false">C38*Assumptions!$B$46*Assumptions!$B$47</f>
        <v>5.195915505</v>
      </c>
      <c r="I38" s="18" t="n">
        <f aca="false">I37*(1-Assumptions!$B$48)+H38</f>
        <v>57.3227845706712</v>
      </c>
      <c r="J38" s="19" t="n">
        <f aca="false">I38*Assumptions!$B$49</f>
        <v>1089.13290684275</v>
      </c>
      <c r="K38" s="41" t="n">
        <f aca="false">F38+G38+J38</f>
        <v>1482.04258976675</v>
      </c>
    </row>
    <row r="39" customFormat="false" ht="15" hidden="false" customHeight="false" outlineLevel="0" collapsed="false">
      <c r="A39" s="35" t="n">
        <v>36</v>
      </c>
      <c r="B39" s="36" t="n">
        <v>1</v>
      </c>
      <c r="C39" s="37" t="n">
        <f aca="false">Keyword_Portfolio!$M$24*B39*Assumptions!$B$34</f>
        <v>11663.11</v>
      </c>
      <c r="D39" s="37" t="n">
        <f aca="false">C39*Assumptions!$B$11</f>
        <v>22159.909</v>
      </c>
      <c r="E39" s="38" t="n">
        <f aca="false">Assumptions!$B$10*IF(C39&gt;=50000,Assumptions!$B$7,IF(C39&gt;=10000,Assumptions!$B$6,Assumptions!$B$5))</f>
        <v>5.9097516871572</v>
      </c>
      <c r="F39" s="19" t="n">
        <f aca="false">D39/1000*E39</f>
        <v>130.9595596</v>
      </c>
      <c r="G39" s="39" t="n">
        <f aca="false">D39/1000*Assumptions!$B$17</f>
        <v>265.918908</v>
      </c>
      <c r="H39" s="40" t="n">
        <f aca="false">C39*Assumptions!$B$46*Assumptions!$B$47</f>
        <v>5.2483995</v>
      </c>
      <c r="I39" s="18" t="n">
        <f aca="false">I38*(1-Assumptions!$B$48)+H39</f>
        <v>59.1318169964309</v>
      </c>
      <c r="J39" s="19" t="n">
        <f aca="false">I39*Assumptions!$B$49</f>
        <v>1123.50452293219</v>
      </c>
      <c r="K39" s="41" t="n">
        <f aca="false">F39+G39+J39</f>
        <v>1520.38299053219</v>
      </c>
    </row>
    <row r="41" customFormat="false" ht="15" hidden="false" customHeight="false" outlineLevel="0" collapsed="false">
      <c r="A41" s="42" t="s">
        <v>124</v>
      </c>
      <c r="B41" s="42"/>
      <c r="C41" s="42"/>
      <c r="D41" s="42"/>
      <c r="E41" s="41" t="n">
        <f aca="false">SUM(K4:K15)</f>
        <v>959.910972025471</v>
      </c>
    </row>
    <row r="42" customFormat="false" ht="15" hidden="false" customHeight="false" outlineLevel="0" collapsed="false">
      <c r="A42" s="42" t="s">
        <v>125</v>
      </c>
      <c r="B42" s="42"/>
      <c r="C42" s="42"/>
      <c r="D42" s="42"/>
      <c r="E42" s="41" t="n">
        <f aca="false">SUM(K16:K27)</f>
        <v>6809.22120820272</v>
      </c>
    </row>
    <row r="43" customFormat="false" ht="15" hidden="false" customHeight="false" outlineLevel="0" collapsed="false">
      <c r="A43" s="42" t="s">
        <v>126</v>
      </c>
      <c r="B43" s="42"/>
      <c r="C43" s="42"/>
      <c r="D43" s="42"/>
      <c r="E43" s="41" t="n">
        <f aca="false">SUM(K28:K39)</f>
        <v>15379.2123498288</v>
      </c>
    </row>
    <row r="44" customFormat="false" ht="15" hidden="false" customHeight="false" outlineLevel="0" collapsed="false">
      <c r="A44" s="42" t="s">
        <v>127</v>
      </c>
      <c r="B44" s="42"/>
      <c r="C44" s="42"/>
      <c r="D44" s="42"/>
      <c r="E44" s="43" t="n">
        <f aca="false">I39</f>
        <v>59.1318169964309</v>
      </c>
    </row>
    <row r="45" customFormat="false" ht="15" hidden="false" customHeight="false" outlineLevel="0" collapsed="false">
      <c r="A45" s="42" t="s">
        <v>128</v>
      </c>
      <c r="B45" s="42"/>
      <c r="C45" s="42"/>
      <c r="D45" s="42"/>
      <c r="E45" s="41" t="n">
        <f aca="false">K39</f>
        <v>1520.38299053219</v>
      </c>
    </row>
    <row r="46" customFormat="false" ht="15" hidden="false" customHeight="false" outlineLevel="0" collapsed="false">
      <c r="A46" s="42" t="s">
        <v>129</v>
      </c>
      <c r="B46" s="42"/>
      <c r="C46" s="42"/>
      <c r="D46" s="42"/>
      <c r="E46" s="41" t="n">
        <f aca="false">K39*12</f>
        <v>18244.5958863863</v>
      </c>
    </row>
  </sheetData>
  <mergeCells count="7">
    <mergeCell ref="A1:K1"/>
    <mergeCell ref="A41:D41"/>
    <mergeCell ref="A42:D42"/>
    <mergeCell ref="A43:D43"/>
    <mergeCell ref="A44:D44"/>
    <mergeCell ref="A45:D45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7"/>
  </cols>
  <sheetData>
    <row r="1" customFormat="false" ht="21.75" hidden="false" customHeight="true" outlineLevel="0" collapsed="false">
      <c r="A1" s="5" t="s">
        <v>130</v>
      </c>
      <c r="B1" s="5"/>
      <c r="C1" s="5"/>
      <c r="D1" s="5"/>
    </row>
    <row r="2" customFormat="false" ht="15" hidden="false" customHeight="false" outlineLevel="0" collapsed="false">
      <c r="A2" s="6" t="s">
        <v>131</v>
      </c>
    </row>
    <row r="3" customFormat="false" ht="15" hidden="false" customHeight="false" outlineLevel="0" collapsed="false">
      <c r="A3" s="22" t="s">
        <v>132</v>
      </c>
      <c r="B3" s="22" t="s">
        <v>44</v>
      </c>
      <c r="C3" s="22" t="s">
        <v>46</v>
      </c>
      <c r="D3" s="22" t="s">
        <v>48</v>
      </c>
    </row>
    <row r="4" customFormat="false" ht="15" hidden="false" customHeight="false" outlineLevel="0" collapsed="false">
      <c r="A4" s="44" t="s">
        <v>133</v>
      </c>
      <c r="B4" s="45" t="n">
        <f aca="false">Assumptions!$B$33</f>
        <v>0.45</v>
      </c>
      <c r="C4" s="45" t="n">
        <f aca="false">Assumptions!$B$34</f>
        <v>1</v>
      </c>
      <c r="D4" s="45" t="n">
        <f aca="false">Assumptions!$B$35</f>
        <v>1.7</v>
      </c>
    </row>
    <row r="5" customFormat="false" ht="15" hidden="false" customHeight="false" outlineLevel="0" collapsed="false">
      <c r="A5" s="44" t="s">
        <v>134</v>
      </c>
      <c r="B5" s="18" t="n">
        <f aca="false">Keyword_Portfolio!$M$24*B4</f>
        <v>5248.3995</v>
      </c>
      <c r="C5" s="18" t="n">
        <f aca="false">Keyword_Portfolio!$M$24*C4</f>
        <v>11663.11</v>
      </c>
      <c r="D5" s="18" t="n">
        <f aca="false">Keyword_Portfolio!$M$24*D4</f>
        <v>19827.287</v>
      </c>
    </row>
    <row r="6" customFormat="false" ht="15" hidden="false" customHeight="false" outlineLevel="0" collapsed="false">
      <c r="A6" s="44" t="s">
        <v>135</v>
      </c>
      <c r="B6" s="37" t="n">
        <f aca="false">B5*Assumptions!$B$11</f>
        <v>9971.95905</v>
      </c>
      <c r="C6" s="37" t="n">
        <f aca="false">C5*Assumptions!$B$11</f>
        <v>22159.909</v>
      </c>
      <c r="D6" s="37" t="n">
        <f aca="false">D5*Assumptions!$B$11</f>
        <v>37671.8453</v>
      </c>
    </row>
    <row r="7" customFormat="false" ht="15" hidden="false" customHeight="false" outlineLevel="0" collapsed="false">
      <c r="A7" s="44" t="s">
        <v>136</v>
      </c>
      <c r="B7" s="46" t="str">
        <f aca="false">IF(B5&gt;=50000,"Mediavine/Raptive",IF(B5&gt;=10000,"Ezoic","AdSense"))</f>
        <v>AdSense</v>
      </c>
      <c r="C7" s="46" t="str">
        <f aca="false">IF(C5&gt;=50000,"Mediavine/Raptive",IF(C5&gt;=10000,"Ezoic","AdSense"))</f>
        <v>Ezoic</v>
      </c>
      <c r="D7" s="46" t="str">
        <f aca="false">IF(D5&gt;=50000,"Mediavine/Raptive",IF(D5&gt;=10000,"Ezoic","AdSense"))</f>
        <v>Ezoic</v>
      </c>
    </row>
    <row r="8" customFormat="false" ht="15" hidden="false" customHeight="false" outlineLevel="0" collapsed="false">
      <c r="A8" s="44" t="s">
        <v>137</v>
      </c>
      <c r="B8" s="38" t="n">
        <f aca="false">Assumptions!$B$10*IF(B5&gt;=50000,Assumptions!$B$7,IF(B5&gt;=10000,Assumptions!$B$6,Assumptions!$B$5))</f>
        <v>2.9548758435786</v>
      </c>
      <c r="C8" s="38" t="n">
        <f aca="false">Assumptions!$B$10*IF(C5&gt;=50000,Assumptions!$B$7,IF(C5&gt;=10000,Assumptions!$B$6,Assumptions!$B$5))</f>
        <v>5.9097516871572</v>
      </c>
      <c r="D8" s="38" t="n">
        <f aca="false">Assumptions!$B$10*IF(D5&gt;=50000,Assumptions!$B$7,IF(D5&gt;=10000,Assumptions!$B$6,Assumptions!$B$5))</f>
        <v>5.9097516871572</v>
      </c>
    </row>
    <row r="9" customFormat="false" ht="15" hidden="false" customHeight="false" outlineLevel="0" collapsed="false">
      <c r="A9" s="44" t="s">
        <v>138</v>
      </c>
      <c r="B9" s="19" t="n">
        <f aca="false">B6*12/1000*B8</f>
        <v>353.59081092</v>
      </c>
      <c r="C9" s="19" t="n">
        <f aca="false">C6*12/1000*C8</f>
        <v>1571.5147152</v>
      </c>
      <c r="D9" s="19" t="n">
        <f aca="false">D6*12/1000*D8</f>
        <v>2671.57501584</v>
      </c>
    </row>
    <row r="10" customFormat="false" ht="15" hidden="false" customHeight="false" outlineLevel="0" collapsed="false">
      <c r="A10" s="44" t="s">
        <v>139</v>
      </c>
      <c r="B10" s="39" t="n">
        <f aca="false">B6*12/1000*Assumptions!$B$17</f>
        <v>1435.9621032</v>
      </c>
      <c r="C10" s="39" t="n">
        <f aca="false">C6*12/1000*Assumptions!$B$17</f>
        <v>3191.026896</v>
      </c>
      <c r="D10" s="39" t="n">
        <f aca="false">D6*12/1000*Assumptions!$B$17</f>
        <v>5424.7457232</v>
      </c>
    </row>
    <row r="11" customFormat="false" ht="15" hidden="false" customHeight="false" outlineLevel="0" collapsed="false">
      <c r="A11" s="44" t="s">
        <v>140</v>
      </c>
      <c r="B11" s="47" t="n">
        <f aca="false">B5*Assumptions!$B$46*Assumptions!$B$47</f>
        <v>2.361779775</v>
      </c>
      <c r="C11" s="47" t="n">
        <f aca="false">C5*Assumptions!$B$46*Assumptions!$B$47</f>
        <v>5.2483995</v>
      </c>
      <c r="D11" s="47" t="n">
        <f aca="false">D5*Assumptions!$B$46*Assumptions!$B$47</f>
        <v>8.92227915</v>
      </c>
    </row>
    <row r="12" customFormat="false" ht="15" hidden="false" customHeight="false" outlineLevel="0" collapsed="false">
      <c r="A12" s="44" t="s">
        <v>141</v>
      </c>
      <c r="B12" s="18" t="n">
        <f aca="false">B11/Assumptions!$B$48</f>
        <v>39.36299625</v>
      </c>
      <c r="C12" s="18" t="n">
        <f aca="false">C11/Assumptions!$B$48</f>
        <v>87.473325</v>
      </c>
      <c r="D12" s="18" t="n">
        <f aca="false">D11/Assumptions!$B$48</f>
        <v>148.7046525</v>
      </c>
    </row>
    <row r="13" customFormat="false" ht="15" hidden="false" customHeight="false" outlineLevel="0" collapsed="false">
      <c r="A13" s="44" t="s">
        <v>142</v>
      </c>
      <c r="B13" s="19" t="n">
        <f aca="false">B12*Assumptions!$B$49</f>
        <v>747.89692875</v>
      </c>
      <c r="C13" s="19" t="n">
        <f aca="false">C12*Assumptions!$B$49</f>
        <v>1661.993175</v>
      </c>
      <c r="D13" s="19" t="n">
        <f aca="false">D12*Assumptions!$B$49</f>
        <v>2825.3883975</v>
      </c>
    </row>
    <row r="14" customFormat="false" ht="15" hidden="false" customHeight="false" outlineLevel="0" collapsed="false">
      <c r="A14" s="44" t="s">
        <v>143</v>
      </c>
      <c r="B14" s="39" t="n">
        <f aca="false">B13*12</f>
        <v>8974.763145</v>
      </c>
      <c r="C14" s="39" t="n">
        <f aca="false">C13*12</f>
        <v>19943.9181</v>
      </c>
      <c r="D14" s="39" t="n">
        <f aca="false">D13*12</f>
        <v>33904.66077</v>
      </c>
    </row>
    <row r="15" customFormat="false" ht="15" hidden="false" customHeight="false" outlineLevel="0" collapsed="false">
      <c r="A15" s="32" t="s">
        <v>144</v>
      </c>
      <c r="B15" s="48" t="n">
        <f aca="false">B9+B10+B14</f>
        <v>10764.31605912</v>
      </c>
      <c r="C15" s="48" t="n">
        <f aca="false">C9+C10+C14</f>
        <v>24706.4597112</v>
      </c>
      <c r="D15" s="48" t="n">
        <f aca="false">D9+D10+D14</f>
        <v>42000.98150904</v>
      </c>
    </row>
    <row r="16" customFormat="false" ht="15" hidden="false" customHeight="false" outlineLevel="0" collapsed="false">
      <c r="A16" s="44" t="s">
        <v>145</v>
      </c>
      <c r="B16" s="18" t="n">
        <f aca="false">B6*12</f>
        <v>119663.5086</v>
      </c>
      <c r="C16" s="18" t="n">
        <f aca="false">C6*12</f>
        <v>265918.908</v>
      </c>
      <c r="D16" s="18" t="n">
        <f aca="false">D6*12</f>
        <v>452062.1436</v>
      </c>
    </row>
    <row r="17" customFormat="false" ht="15" hidden="false" customHeight="false" outlineLevel="0" collapsed="false">
      <c r="A17" s="44" t="s">
        <v>146</v>
      </c>
      <c r="B17" s="20" t="n">
        <f aca="false">B16/50000000</f>
        <v>0.002393270172</v>
      </c>
      <c r="C17" s="20" t="n">
        <f aca="false">C16/50000000</f>
        <v>0.00531837816</v>
      </c>
      <c r="D17" s="20" t="n">
        <f aca="false">D16/50000000</f>
        <v>0.009041242872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21.75" hidden="false" customHeight="true" outlineLevel="0" collapsed="false">
      <c r="A1" s="5" t="s">
        <v>147</v>
      </c>
      <c r="B1" s="5"/>
      <c r="C1" s="5"/>
    </row>
    <row r="3" customFormat="false" ht="15" hidden="false" customHeight="false" outlineLevel="0" collapsed="false">
      <c r="A3" s="49" t="s">
        <v>148</v>
      </c>
      <c r="B3" s="49"/>
      <c r="C3" s="49"/>
    </row>
    <row r="4" customFormat="false" ht="15" hidden="false" customHeight="false" outlineLevel="0" collapsed="false">
      <c r="A4" s="3" t="s">
        <v>149</v>
      </c>
      <c r="B4" s="16" t="n">
        <v>50000000</v>
      </c>
      <c r="C4" s="4"/>
    </row>
    <row r="5" customFormat="false" ht="15" hidden="false" customHeight="false" outlineLevel="0" collapsed="false">
      <c r="A5" s="3" t="s">
        <v>150</v>
      </c>
      <c r="B5" s="45" t="n">
        <f aca="false">Assumptions!$B$11</f>
        <v>1.9</v>
      </c>
      <c r="C5" s="4"/>
    </row>
    <row r="6" customFormat="false" ht="15" hidden="false" customHeight="false" outlineLevel="0" collapsed="false">
      <c r="A6" s="3" t="s">
        <v>151</v>
      </c>
      <c r="B6" s="18" t="n">
        <f aca="false">B4/B5</f>
        <v>26315789.4736842</v>
      </c>
      <c r="C6" s="4"/>
    </row>
    <row r="7" customFormat="false" ht="15" hidden="false" customHeight="false" outlineLevel="0" collapsed="false">
      <c r="A7" s="3" t="s">
        <v>152</v>
      </c>
      <c r="B7" s="18" t="n">
        <f aca="false">B6/12</f>
        <v>2192982.45614035</v>
      </c>
      <c r="C7" s="4"/>
    </row>
    <row r="8" customFormat="false" ht="15" hidden="false" customHeight="false" outlineLevel="0" collapsed="false">
      <c r="A8" s="3" t="s">
        <v>153</v>
      </c>
      <c r="B8" s="9" t="n">
        <f aca="false">Assumptions!$B$21</f>
        <v>0.27</v>
      </c>
      <c r="C8" s="4"/>
    </row>
    <row r="9" customFormat="false" ht="15" hidden="false" customHeight="false" outlineLevel="0" collapsed="false">
      <c r="A9" s="3" t="s">
        <v>154</v>
      </c>
      <c r="B9" s="18" t="n">
        <f aca="false">B7/B8</f>
        <v>8122157.24496426</v>
      </c>
      <c r="C9" s="4"/>
    </row>
    <row r="11" customFormat="false" ht="15" hidden="false" customHeight="false" outlineLevel="0" collapsed="false">
      <c r="A11" s="49" t="s">
        <v>155</v>
      </c>
      <c r="B11" s="49"/>
      <c r="C11" s="49"/>
    </row>
    <row r="12" customFormat="false" ht="15" hidden="false" customHeight="false" outlineLevel="0" collapsed="false">
      <c r="A12" s="3" t="s">
        <v>156</v>
      </c>
      <c r="B12" s="37" t="n">
        <f aca="false">Keyword_Portfolio!$H$24</f>
        <v>338950</v>
      </c>
      <c r="C12" s="4" t="s">
        <v>157</v>
      </c>
    </row>
    <row r="13" customFormat="false" ht="15" hidden="false" customHeight="false" outlineLevel="0" collapsed="false">
      <c r="A13" s="3" t="s">
        <v>158</v>
      </c>
      <c r="B13" s="18" t="n">
        <f aca="false">B12*Assumptions!$B$21</f>
        <v>91516.5</v>
      </c>
      <c r="C13" s="4"/>
    </row>
    <row r="14" customFormat="false" ht="15" hidden="false" customHeight="false" outlineLevel="0" collapsed="false">
      <c r="A14" s="3" t="s">
        <v>159</v>
      </c>
      <c r="B14" s="18" t="n">
        <f aca="false">B13*12*Assumptions!$B$11</f>
        <v>2086576.2</v>
      </c>
      <c r="C14" s="4"/>
    </row>
    <row r="16" customFormat="false" ht="15" hidden="false" customHeight="false" outlineLevel="0" collapsed="false">
      <c r="A16" s="49" t="s">
        <v>160</v>
      </c>
      <c r="B16" s="49"/>
      <c r="C16" s="49"/>
    </row>
    <row r="17" customFormat="false" ht="15" hidden="false" customHeight="false" outlineLevel="0" collapsed="false">
      <c r="A17" s="3" t="s">
        <v>161</v>
      </c>
      <c r="B17" s="50" t="n">
        <f aca="false">B4/B14</f>
        <v>23.9627002359176</v>
      </c>
      <c r="C17" s="4"/>
    </row>
    <row r="18" customFormat="false" ht="15" hidden="false" customHeight="false" outlineLevel="0" collapsed="false">
      <c r="A18" s="3" t="s">
        <v>162</v>
      </c>
      <c r="B18" s="51" t="n">
        <f aca="false">B14/B4</f>
        <v>0.041731524</v>
      </c>
      <c r="C18" s="4"/>
    </row>
    <row r="20" customFormat="false" ht="60" hidden="false" customHeight="true" outlineLevel="0" collapsed="false">
      <c r="A20" s="52" t="s">
        <v>163</v>
      </c>
      <c r="B20" s="52"/>
      <c r="C20" s="52"/>
    </row>
  </sheetData>
  <mergeCells count="5">
    <mergeCell ref="A1:C1"/>
    <mergeCell ref="A3:C3"/>
    <mergeCell ref="A11:C11"/>
    <mergeCell ref="A16:C16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2026-07-02T04:54:26Z</dcterms:created>
  <dc:creator>openpyxl</dc:creator>
  <dc:description/>
  <dc:language>en-US</dc:language>
  <cp:lastModifiedBy/>
  <dcterms:modified xsi:type="dcterms:W3CDTF">2026-07-02T04:54:26Z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